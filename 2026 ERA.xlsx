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share\00-2026 WEB SHOP METRO SERVIS\2026 ZA ZAPOSLENIKE\"/>
    </mc:Choice>
  </mc:AlternateContent>
  <xr:revisionPtr revIDLastSave="0" documentId="13_ncr:1_{2E39E3C1-E845-45AE-AF75-1259B020DEE3}" xr6:coauthVersionLast="47" xr6:coauthVersionMax="47" xr10:uidLastSave="{00000000-0000-0000-0000-000000000000}"/>
  <bookViews>
    <workbookView xWindow="-120" yWindow="-120" windowWidth="29040" windowHeight="15720" activeTab="1" xr2:uid="{AD064E23-4B64-4FB2-968A-F08F1CF320CA}"/>
  </bookViews>
  <sheets>
    <sheet name="Podaci" sheetId="2" r:id="rId1"/>
    <sheet name="01" sheetId="1" r:id="rId2"/>
    <sheet name="02" sheetId="10" r:id="rId3"/>
    <sheet name="03" sheetId="11" r:id="rId4"/>
    <sheet name="04" sheetId="12" r:id="rId5"/>
    <sheet name="05" sheetId="13" r:id="rId6"/>
    <sheet name="06" sheetId="14" r:id="rId7"/>
    <sheet name="07" sheetId="15" r:id="rId8"/>
    <sheet name="08" sheetId="16" r:id="rId9"/>
    <sheet name="09" sheetId="17" r:id="rId10"/>
    <sheet name="10" sheetId="18" r:id="rId11"/>
    <sheet name="11" sheetId="19" r:id="rId12"/>
    <sheet name="12" sheetId="20" r:id="rId13"/>
  </sheets>
  <definedNames>
    <definedName name="Praznici" localSheetId="0">Podaci!$P$3:$P$16</definedName>
    <definedName name="Praznici">Podaci!$P$3:$Q$16</definedName>
    <definedName name="Praznici2024">Podaci!$P$3:$Q$16</definedName>
    <definedName name="_xlnm.Print_Area" localSheetId="1">'01'!$A$1:$AD$47</definedName>
    <definedName name="_xlnm.Print_Area" localSheetId="2">'02'!$A$1:$AD$47</definedName>
    <definedName name="_xlnm.Print_Area" localSheetId="3">'03'!$A$1:$AD$47</definedName>
    <definedName name="_xlnm.Print_Area" localSheetId="4">'04'!$A$1:$AD$47</definedName>
    <definedName name="_xlnm.Print_Area" localSheetId="5">'05'!$A$1:$AD$47</definedName>
    <definedName name="_xlnm.Print_Area" localSheetId="6">'06'!$A$1:$AD$47</definedName>
    <definedName name="_xlnm.Print_Area" localSheetId="7">'07'!$A$1:$AD$47</definedName>
    <definedName name="_xlnm.Print_Area" localSheetId="8">'08'!$A$1:$AD$47</definedName>
    <definedName name="_xlnm.Print_Area" localSheetId="9">'09'!$A$1:$AD$47</definedName>
    <definedName name="_xlnm.Print_Area" localSheetId="10">'10'!$A$1:$AD$47</definedName>
    <definedName name="_xlnm.Print_Area" localSheetId="11">'11'!$A$1:$AD$47</definedName>
    <definedName name="_xlnm.Print_Area" localSheetId="12">'12'!$A$1:$AD$47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0" l="1"/>
  <c r="E2" i="11"/>
  <c r="E2" i="12"/>
  <c r="E2" i="13"/>
  <c r="E2" i="14"/>
  <c r="E2" i="15"/>
  <c r="E2" i="16"/>
  <c r="E2" i="17"/>
  <c r="E2" i="18"/>
  <c r="E2" i="19"/>
  <c r="E2" i="20"/>
  <c r="AE45" i="1"/>
  <c r="AE45" i="20"/>
  <c r="AE45" i="19"/>
  <c r="AE45" i="18"/>
  <c r="AE45" i="17"/>
  <c r="AE45" i="16"/>
  <c r="AE45" i="15"/>
  <c r="AE45" i="14"/>
  <c r="AE45" i="13"/>
  <c r="AE45" i="12"/>
  <c r="AE45" i="11"/>
  <c r="AE45" i="10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M5" i="10"/>
  <c r="M5" i="11"/>
  <c r="M5" i="12"/>
  <c r="M5" i="13"/>
  <c r="M5" i="14"/>
  <c r="M5" i="15"/>
  <c r="M5" i="16"/>
  <c r="M5" i="17"/>
  <c r="M5" i="18"/>
  <c r="M5" i="19"/>
  <c r="M5" i="20"/>
  <c r="M5" i="1"/>
  <c r="AD45" i="20" l="1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M44" i="20"/>
  <c r="L44" i="20"/>
  <c r="K44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AE13" i="20"/>
  <c r="E13" i="20"/>
  <c r="A13" i="20"/>
  <c r="A14" i="20" s="1"/>
  <c r="A15" i="20" s="1"/>
  <c r="E12" i="20"/>
  <c r="B12" i="20"/>
  <c r="A9" i="20"/>
  <c r="D7" i="20"/>
  <c r="J7" i="20" s="1"/>
  <c r="P7" i="20" s="1"/>
  <c r="AC7" i="20" s="1"/>
  <c r="S5" i="20"/>
  <c r="S4" i="20"/>
  <c r="M4" i="20"/>
  <c r="M3" i="20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M44" i="19"/>
  <c r="L44" i="19"/>
  <c r="K44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A13" i="19"/>
  <c r="A14" i="19" s="1"/>
  <c r="A15" i="19" s="1"/>
  <c r="E12" i="19"/>
  <c r="B12" i="19"/>
  <c r="A9" i="19"/>
  <c r="D7" i="19"/>
  <c r="D6" i="19" s="1"/>
  <c r="S5" i="19"/>
  <c r="S4" i="19"/>
  <c r="M4" i="19"/>
  <c r="M3" i="19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M44" i="18"/>
  <c r="L44" i="18"/>
  <c r="K44" i="18"/>
  <c r="E42" i="18"/>
  <c r="E41" i="18"/>
  <c r="E40" i="18"/>
  <c r="AE39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A13" i="18"/>
  <c r="A14" i="18" s="1"/>
  <c r="A15" i="18" s="1"/>
  <c r="E12" i="18"/>
  <c r="B12" i="18"/>
  <c r="A9" i="18"/>
  <c r="D7" i="18"/>
  <c r="D6" i="18" s="1"/>
  <c r="S5" i="18"/>
  <c r="S4" i="18"/>
  <c r="M4" i="18"/>
  <c r="M3" i="18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M44" i="17"/>
  <c r="L44" i="17"/>
  <c r="K44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A13" i="17"/>
  <c r="A14" i="17" s="1"/>
  <c r="E12" i="17"/>
  <c r="B12" i="17"/>
  <c r="A9" i="17"/>
  <c r="D7" i="17"/>
  <c r="D6" i="17" s="1"/>
  <c r="S5" i="17"/>
  <c r="S4" i="17"/>
  <c r="M4" i="17"/>
  <c r="M3" i="17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M44" i="16"/>
  <c r="L44" i="16"/>
  <c r="K44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A13" i="16"/>
  <c r="A14" i="16" s="1"/>
  <c r="E12" i="16"/>
  <c r="B12" i="16"/>
  <c r="A9" i="16"/>
  <c r="D7" i="16"/>
  <c r="D6" i="16" s="1"/>
  <c r="S5" i="16"/>
  <c r="S4" i="16"/>
  <c r="M4" i="16"/>
  <c r="M3" i="16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M44" i="15"/>
  <c r="L44" i="15"/>
  <c r="K44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A13" i="15"/>
  <c r="A14" i="15" s="1"/>
  <c r="A15" i="15" s="1"/>
  <c r="E12" i="15"/>
  <c r="B12" i="15"/>
  <c r="A9" i="15"/>
  <c r="D7" i="15"/>
  <c r="D6" i="15" s="1"/>
  <c r="S5" i="15"/>
  <c r="S4" i="15"/>
  <c r="M4" i="15"/>
  <c r="M3" i="15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M44" i="14"/>
  <c r="L44" i="14"/>
  <c r="K44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A13" i="14"/>
  <c r="A14" i="14" s="1"/>
  <c r="E12" i="14"/>
  <c r="B12" i="14"/>
  <c r="A9" i="14"/>
  <c r="D7" i="14"/>
  <c r="D6" i="14" s="1"/>
  <c r="S5" i="14"/>
  <c r="S4" i="14"/>
  <c r="M4" i="14"/>
  <c r="M3" i="14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M44" i="13"/>
  <c r="L44" i="13"/>
  <c r="K44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A13" i="13"/>
  <c r="A14" i="13" s="1"/>
  <c r="E12" i="13"/>
  <c r="B12" i="13"/>
  <c r="A9" i="13"/>
  <c r="D7" i="13"/>
  <c r="D6" i="13" s="1"/>
  <c r="S5" i="13"/>
  <c r="S4" i="13"/>
  <c r="M4" i="13"/>
  <c r="M3" i="13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M44" i="12"/>
  <c r="L44" i="12"/>
  <c r="K44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A13" i="12"/>
  <c r="B13" i="12" s="1"/>
  <c r="E12" i="12"/>
  <c r="B12" i="12"/>
  <c r="A9" i="12"/>
  <c r="D7" i="12"/>
  <c r="D6" i="12" s="1"/>
  <c r="S5" i="12"/>
  <c r="S4" i="12"/>
  <c r="M4" i="12"/>
  <c r="M3" i="12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M44" i="11"/>
  <c r="L44" i="11"/>
  <c r="K44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A13" i="11"/>
  <c r="E12" i="11"/>
  <c r="B12" i="11"/>
  <c r="A9" i="11"/>
  <c r="D7" i="11"/>
  <c r="D6" i="11" s="1"/>
  <c r="S5" i="11"/>
  <c r="S4" i="11"/>
  <c r="M4" i="11"/>
  <c r="M3" i="11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M44" i="10"/>
  <c r="L44" i="10"/>
  <c r="K44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A13" i="10"/>
  <c r="E12" i="10"/>
  <c r="B12" i="10"/>
  <c r="A9" i="10"/>
  <c r="D7" i="10"/>
  <c r="J7" i="10" s="1"/>
  <c r="P7" i="10" s="1"/>
  <c r="AC7" i="10" s="1"/>
  <c r="S5" i="10"/>
  <c r="S4" i="10"/>
  <c r="M4" i="10"/>
  <c r="M3" i="10"/>
  <c r="AE16" i="11" l="1"/>
  <c r="AE14" i="11"/>
  <c r="AE19" i="13"/>
  <c r="AE40" i="14"/>
  <c r="AE16" i="14"/>
  <c r="AE32" i="13"/>
  <c r="AE30" i="19"/>
  <c r="AE38" i="20"/>
  <c r="AE36" i="15"/>
  <c r="AE20" i="16"/>
  <c r="AE20" i="19"/>
  <c r="AE25" i="19"/>
  <c r="AE33" i="20"/>
  <c r="AE15" i="13"/>
  <c r="AE20" i="14"/>
  <c r="AE15" i="15"/>
  <c r="AE26" i="16"/>
  <c r="AE42" i="16"/>
  <c r="AE21" i="19"/>
  <c r="AE31" i="11"/>
  <c r="AE22" i="13"/>
  <c r="AE39" i="15"/>
  <c r="AE21" i="18"/>
  <c r="AE19" i="20"/>
  <c r="AE37" i="20"/>
  <c r="AE36" i="17"/>
  <c r="D6" i="20"/>
  <c r="AE14" i="13"/>
  <c r="AE25" i="13"/>
  <c r="AE37" i="18"/>
  <c r="AE25" i="18"/>
  <c r="AE25" i="12"/>
  <c r="AE32" i="14"/>
  <c r="AE21" i="15"/>
  <c r="AE27" i="16"/>
  <c r="AE31" i="12"/>
  <c r="AE16" i="13"/>
  <c r="AE27" i="14"/>
  <c r="AE33" i="16"/>
  <c r="AE32" i="10"/>
  <c r="AE29" i="10"/>
  <c r="AE14" i="10"/>
  <c r="AE38" i="10"/>
  <c r="AE22" i="10"/>
  <c r="D6" i="10"/>
  <c r="AE19" i="12"/>
  <c r="AE26" i="14"/>
  <c r="AE42" i="15"/>
  <c r="AE27" i="17"/>
  <c r="AE19" i="18"/>
  <c r="AE16" i="20"/>
  <c r="AE38" i="13"/>
  <c r="AE27" i="13"/>
  <c r="AE38" i="14"/>
  <c r="AE18" i="19"/>
  <c r="AE25" i="11"/>
  <c r="AE33" i="13"/>
  <c r="AE12" i="14"/>
  <c r="AE22" i="14"/>
  <c r="AE22" i="15"/>
  <c r="AE28" i="15"/>
  <c r="AE27" i="10"/>
  <c r="AE39" i="13"/>
  <c r="AE34" i="15"/>
  <c r="AE21" i="13"/>
  <c r="AE19" i="11"/>
  <c r="AE37" i="11"/>
  <c r="AE26" i="12"/>
  <c r="AE33" i="10"/>
  <c r="AE18" i="14"/>
  <c r="AE34" i="14"/>
  <c r="AE24" i="16"/>
  <c r="AE24" i="17"/>
  <c r="AE19" i="19"/>
  <c r="AE31" i="20"/>
  <c r="AE30" i="15"/>
  <c r="AE16" i="18"/>
  <c r="AE28" i="18"/>
  <c r="AE27" i="11"/>
  <c r="AE40" i="12"/>
  <c r="AE20" i="10"/>
  <c r="AE36" i="19"/>
  <c r="AE13" i="10"/>
  <c r="AE34" i="10"/>
  <c r="AE39" i="11"/>
  <c r="AE20" i="13"/>
  <c r="AE31" i="13"/>
  <c r="AE20" i="15"/>
  <c r="AE31" i="16"/>
  <c r="AE36" i="16"/>
  <c r="AE14" i="17"/>
  <c r="AE20" i="17"/>
  <c r="AE32" i="17"/>
  <c r="AE15" i="20"/>
  <c r="AE21" i="20"/>
  <c r="E44" i="18"/>
  <c r="B13" i="20"/>
  <c r="J7" i="16"/>
  <c r="J6" i="16" s="1"/>
  <c r="B13" i="19"/>
  <c r="E44" i="10"/>
  <c r="AE26" i="10"/>
  <c r="AE13" i="11"/>
  <c r="AE38" i="11"/>
  <c r="AE21" i="12"/>
  <c r="AE33" i="12"/>
  <c r="AE26" i="13"/>
  <c r="AE22" i="17"/>
  <c r="AE24" i="19"/>
  <c r="AE31" i="19"/>
  <c r="AE15" i="10"/>
  <c r="AE14" i="12"/>
  <c r="AE24" i="14"/>
  <c r="E44" i="15"/>
  <c r="AE32" i="15"/>
  <c r="AE15" i="16"/>
  <c r="AE39" i="17"/>
  <c r="AE33" i="11"/>
  <c r="AE16" i="12"/>
  <c r="AE23" i="12"/>
  <c r="AE28" i="12"/>
  <c r="AE39" i="12"/>
  <c r="AE27" i="18"/>
  <c r="E44" i="19"/>
  <c r="AE33" i="19"/>
  <c r="AE26" i="20"/>
  <c r="AE21" i="10"/>
  <c r="AE28" i="10"/>
  <c r="AE15" i="11"/>
  <c r="AE28" i="13"/>
  <c r="AE28" i="14"/>
  <c r="AE39" i="14"/>
  <c r="AE14" i="15"/>
  <c r="AE27" i="15"/>
  <c r="AE12" i="16"/>
  <c r="AE30" i="16"/>
  <c r="AE37" i="16"/>
  <c r="AE15" i="17"/>
  <c r="B13" i="18"/>
  <c r="E44" i="12"/>
  <c r="E44" i="14"/>
  <c r="AE14" i="16"/>
  <c r="AE25" i="16"/>
  <c r="AE32" i="16"/>
  <c r="E44" i="17"/>
  <c r="AE38" i="17"/>
  <c r="AE13" i="18"/>
  <c r="AE31" i="18"/>
  <c r="AE37" i="19"/>
  <c r="AE32" i="20"/>
  <c r="AE39" i="10"/>
  <c r="AE32" i="11"/>
  <c r="AE27" i="12"/>
  <c r="AE36" i="14"/>
  <c r="AE12" i="17"/>
  <c r="AE33" i="18"/>
  <c r="AE40" i="18"/>
  <c r="AE15" i="12"/>
  <c r="AE22" i="12"/>
  <c r="AE36" i="12"/>
  <c r="AE18" i="16"/>
  <c r="AE32" i="19"/>
  <c r="AE25" i="20"/>
  <c r="AE22" i="11"/>
  <c r="AE20" i="12"/>
  <c r="AE30" i="12"/>
  <c r="AE37" i="13"/>
  <c r="AE40" i="13"/>
  <c r="AE15" i="14"/>
  <c r="AE26" i="17"/>
  <c r="AE33" i="17"/>
  <c r="AE40" i="17"/>
  <c r="AE13" i="19"/>
  <c r="AE34" i="11"/>
  <c r="AE17" i="12"/>
  <c r="AE16" i="15"/>
  <c r="AE39" i="16"/>
  <c r="AE28" i="20"/>
  <c r="AE17" i="10"/>
  <c r="AE26" i="11"/>
  <c r="AE32" i="12"/>
  <c r="AE31" i="14"/>
  <c r="AE18" i="15"/>
  <c r="AE21" i="17"/>
  <c r="AE28" i="17"/>
  <c r="AE20" i="18"/>
  <c r="AE32" i="18"/>
  <c r="AE12" i="19"/>
  <c r="AE20" i="20"/>
  <c r="AE21" i="11"/>
  <c r="AE30" i="17"/>
  <c r="AE15" i="18"/>
  <c r="AE15" i="19"/>
  <c r="AE27" i="19"/>
  <c r="AE39" i="19"/>
  <c r="AE40" i="20"/>
  <c r="AE24" i="12"/>
  <c r="AE33" i="14"/>
  <c r="AE19" i="16"/>
  <c r="AE16" i="17"/>
  <c r="AE34" i="12"/>
  <c r="AE34" i="13"/>
  <c r="AE14" i="14"/>
  <c r="AE21" i="14"/>
  <c r="AE38" i="15"/>
  <c r="AE38" i="16"/>
  <c r="AE18" i="17"/>
  <c r="AE22" i="18"/>
  <c r="AE34" i="18"/>
  <c r="AE27" i="20"/>
  <c r="AE28" i="11"/>
  <c r="AE30" i="14"/>
  <c r="AE22" i="20"/>
  <c r="AE20" i="11"/>
  <c r="AE13" i="12"/>
  <c r="AE38" i="12"/>
  <c r="AE24" i="15"/>
  <c r="AE33" i="15"/>
  <c r="AE40" i="15"/>
  <c r="AE16" i="16"/>
  <c r="AE21" i="16"/>
  <c r="G47" i="16"/>
  <c r="AE34" i="17"/>
  <c r="AE14" i="20"/>
  <c r="AE39" i="20"/>
  <c r="AE23" i="10"/>
  <c r="AE35" i="10"/>
  <c r="AE40" i="11"/>
  <c r="AE18" i="12"/>
  <c r="AE37" i="14"/>
  <c r="AE26" i="15"/>
  <c r="AE14" i="18"/>
  <c r="AE26" i="18"/>
  <c r="AE38" i="18"/>
  <c r="G47" i="18"/>
  <c r="AE14" i="19"/>
  <c r="AE26" i="19"/>
  <c r="AE38" i="19"/>
  <c r="AE34" i="20"/>
  <c r="G47" i="17"/>
  <c r="G47" i="12"/>
  <c r="G47" i="14"/>
  <c r="A14" i="12"/>
  <c r="A15" i="12" s="1"/>
  <c r="J6" i="20"/>
  <c r="A16" i="20"/>
  <c r="B15" i="20"/>
  <c r="E44" i="20"/>
  <c r="G44" i="20"/>
  <c r="H44" i="20"/>
  <c r="G47" i="20"/>
  <c r="AE24" i="20"/>
  <c r="AE30" i="20"/>
  <c r="AE36" i="20"/>
  <c r="AE42" i="20"/>
  <c r="B14" i="20"/>
  <c r="G44" i="19"/>
  <c r="A16" i="19"/>
  <c r="B15" i="19"/>
  <c r="AE16" i="19"/>
  <c r="H44" i="19"/>
  <c r="AE22" i="19"/>
  <c r="AE28" i="19"/>
  <c r="AE34" i="19"/>
  <c r="AE40" i="19"/>
  <c r="AE23" i="19"/>
  <c r="AE29" i="19"/>
  <c r="AE35" i="19"/>
  <c r="AE41" i="19"/>
  <c r="J7" i="19"/>
  <c r="J6" i="19" s="1"/>
  <c r="B14" i="19"/>
  <c r="G47" i="19"/>
  <c r="G44" i="18"/>
  <c r="H44" i="18"/>
  <c r="A16" i="18"/>
  <c r="B15" i="18"/>
  <c r="AE36" i="18"/>
  <c r="AE42" i="18"/>
  <c r="J7" i="18"/>
  <c r="J6" i="18" s="1"/>
  <c r="B14" i="18"/>
  <c r="A15" i="17"/>
  <c r="B14" i="17"/>
  <c r="H44" i="17"/>
  <c r="G44" i="17"/>
  <c r="AE35" i="17"/>
  <c r="AE41" i="17"/>
  <c r="B13" i="17"/>
  <c r="J7" i="17"/>
  <c r="J6" i="17" s="1"/>
  <c r="AE13" i="17"/>
  <c r="AE19" i="17"/>
  <c r="AE25" i="17"/>
  <c r="AE31" i="17"/>
  <c r="AE37" i="17"/>
  <c r="E44" i="16"/>
  <c r="A15" i="16"/>
  <c r="B14" i="16"/>
  <c r="G44" i="16"/>
  <c r="H44" i="16"/>
  <c r="AE22" i="16"/>
  <c r="AE28" i="16"/>
  <c r="AE34" i="16"/>
  <c r="AE40" i="16"/>
  <c r="AE35" i="16"/>
  <c r="AE41" i="16"/>
  <c r="B13" i="16"/>
  <c r="AE13" i="16"/>
  <c r="B13" i="15"/>
  <c r="G44" i="15"/>
  <c r="H44" i="15"/>
  <c r="G47" i="15"/>
  <c r="A16" i="15"/>
  <c r="B15" i="15"/>
  <c r="AE35" i="15"/>
  <c r="AE41" i="15"/>
  <c r="J7" i="15"/>
  <c r="J6" i="15" s="1"/>
  <c r="AE12" i="15"/>
  <c r="AE13" i="15"/>
  <c r="B14" i="15"/>
  <c r="AE19" i="15"/>
  <c r="AE25" i="15"/>
  <c r="AE31" i="15"/>
  <c r="AE37" i="15"/>
  <c r="B13" i="14"/>
  <c r="H44" i="14"/>
  <c r="G44" i="14"/>
  <c r="A15" i="14"/>
  <c r="B14" i="14"/>
  <c r="AE35" i="14"/>
  <c r="AE41" i="14"/>
  <c r="J7" i="14"/>
  <c r="J6" i="14" s="1"/>
  <c r="AE13" i="14"/>
  <c r="AE19" i="14"/>
  <c r="AE25" i="14"/>
  <c r="J7" i="13"/>
  <c r="H44" i="13"/>
  <c r="AE17" i="13"/>
  <c r="G44" i="13"/>
  <c r="AE35" i="13"/>
  <c r="E44" i="13"/>
  <c r="AE30" i="13"/>
  <c r="A15" i="13"/>
  <c r="B14" i="13"/>
  <c r="G47" i="13"/>
  <c r="B13" i="13"/>
  <c r="AE36" i="13"/>
  <c r="AE42" i="13"/>
  <c r="AE13" i="13"/>
  <c r="G44" i="12"/>
  <c r="J7" i="12"/>
  <c r="J6" i="12" s="1"/>
  <c r="AE29" i="12"/>
  <c r="H44" i="12"/>
  <c r="AE41" i="12"/>
  <c r="AE12" i="12"/>
  <c r="AE37" i="12"/>
  <c r="A14" i="11"/>
  <c r="A15" i="11" s="1"/>
  <c r="A16" i="11" s="1"/>
  <c r="B13" i="11"/>
  <c r="E44" i="11"/>
  <c r="G44" i="11"/>
  <c r="AE17" i="11"/>
  <c r="H44" i="11"/>
  <c r="G47" i="11"/>
  <c r="AE30" i="11"/>
  <c r="AE36" i="11"/>
  <c r="AE42" i="11"/>
  <c r="J7" i="11"/>
  <c r="J6" i="11" s="1"/>
  <c r="J6" i="10"/>
  <c r="A14" i="10"/>
  <c r="B13" i="10"/>
  <c r="H44" i="10"/>
  <c r="G44" i="10"/>
  <c r="AE16" i="10"/>
  <c r="G47" i="10"/>
  <c r="AE19" i="10"/>
  <c r="AE24" i="10"/>
  <c r="AE30" i="10"/>
  <c r="AE36" i="10"/>
  <c r="AE18" i="10"/>
  <c r="AE41" i="11" l="1"/>
  <c r="AE17" i="15"/>
  <c r="AE41" i="18"/>
  <c r="AE23" i="15"/>
  <c r="AE23" i="14"/>
  <c r="AE17" i="16"/>
  <c r="AE12" i="18"/>
  <c r="AE35" i="20"/>
  <c r="AE18" i="20"/>
  <c r="AE29" i="14"/>
  <c r="AE23" i="18"/>
  <c r="AE17" i="19"/>
  <c r="AE23" i="20"/>
  <c r="AE18" i="11"/>
  <c r="AE41" i="13"/>
  <c r="AE35" i="18"/>
  <c r="AE29" i="20"/>
  <c r="AE23" i="16"/>
  <c r="AE41" i="20"/>
  <c r="AE35" i="11"/>
  <c r="AE18" i="13"/>
  <c r="AE31" i="10"/>
  <c r="AE12" i="13"/>
  <c r="AE23" i="11"/>
  <c r="AE17" i="17"/>
  <c r="AE37" i="10"/>
  <c r="AE24" i="11"/>
  <c r="AE24" i="18"/>
  <c r="AE29" i="15"/>
  <c r="AE29" i="17"/>
  <c r="AE30" i="18"/>
  <c r="AE17" i="20"/>
  <c r="AE35" i="12"/>
  <c r="AE29" i="13"/>
  <c r="AE23" i="17"/>
  <c r="AE29" i="18"/>
  <c r="AE25" i="10"/>
  <c r="AE29" i="11"/>
  <c r="AE24" i="13"/>
  <c r="AE17" i="14"/>
  <c r="AE18" i="18"/>
  <c r="AE12" i="10"/>
  <c r="AE12" i="11"/>
  <c r="AE23" i="13"/>
  <c r="AE29" i="16"/>
  <c r="AE17" i="18"/>
  <c r="AE12" i="20"/>
  <c r="B14" i="11"/>
  <c r="O44" i="17"/>
  <c r="O44" i="14"/>
  <c r="P7" i="16"/>
  <c r="AC7" i="16" s="1"/>
  <c r="O44" i="19"/>
  <c r="O44" i="12"/>
  <c r="O44" i="16"/>
  <c r="B14" i="12"/>
  <c r="N44" i="20"/>
  <c r="A17" i="20"/>
  <c r="B16" i="20"/>
  <c r="O44" i="20"/>
  <c r="N44" i="19"/>
  <c r="P7" i="19"/>
  <c r="AC7" i="19" s="1"/>
  <c r="B16" i="19"/>
  <c r="A17" i="19"/>
  <c r="P7" i="18"/>
  <c r="AC7" i="18" s="1"/>
  <c r="N44" i="18"/>
  <c r="B16" i="18"/>
  <c r="A17" i="18"/>
  <c r="O44" i="18"/>
  <c r="P7" i="17"/>
  <c r="AC7" i="17" s="1"/>
  <c r="N44" i="17"/>
  <c r="A16" i="17"/>
  <c r="B15" i="17"/>
  <c r="N44" i="16"/>
  <c r="A16" i="16"/>
  <c r="B15" i="16"/>
  <c r="P7" i="15"/>
  <c r="AC7" i="15" s="1"/>
  <c r="N44" i="15"/>
  <c r="A17" i="15"/>
  <c r="B16" i="15"/>
  <c r="O44" i="15"/>
  <c r="N44" i="14"/>
  <c r="P7" i="14"/>
  <c r="AC7" i="14" s="1"/>
  <c r="A16" i="14"/>
  <c r="B15" i="14"/>
  <c r="P7" i="13"/>
  <c r="AC7" i="13" s="1"/>
  <c r="J6" i="13"/>
  <c r="O44" i="13"/>
  <c r="N44" i="12"/>
  <c r="A16" i="13"/>
  <c r="B15" i="13"/>
  <c r="N44" i="13"/>
  <c r="P7" i="12"/>
  <c r="AC7" i="12" s="1"/>
  <c r="A16" i="12"/>
  <c r="B15" i="12"/>
  <c r="B15" i="11"/>
  <c r="N44" i="11"/>
  <c r="O44" i="11"/>
  <c r="P7" i="11"/>
  <c r="AC7" i="11" s="1"/>
  <c r="B16" i="11"/>
  <c r="A17" i="11"/>
  <c r="A15" i="10"/>
  <c r="B14" i="10"/>
  <c r="O44" i="10"/>
  <c r="N44" i="10"/>
  <c r="T45" i="1"/>
  <c r="T44" i="1"/>
  <c r="C19" i="2"/>
  <c r="A18" i="20" l="1"/>
  <c r="B17" i="20"/>
  <c r="A18" i="19"/>
  <c r="B17" i="19"/>
  <c r="B17" i="18"/>
  <c r="A18" i="18"/>
  <c r="B16" i="17"/>
  <c r="A17" i="17"/>
  <c r="B16" i="16"/>
  <c r="A17" i="16"/>
  <c r="A18" i="15"/>
  <c r="B17" i="15"/>
  <c r="B16" i="14"/>
  <c r="A17" i="14"/>
  <c r="A17" i="13"/>
  <c r="B16" i="13"/>
  <c r="A17" i="12"/>
  <c r="B16" i="12"/>
  <c r="A18" i="11"/>
  <c r="B17" i="11"/>
  <c r="A16" i="10"/>
  <c r="B15" i="10"/>
  <c r="A19" i="20" l="1"/>
  <c r="B18" i="20"/>
  <c r="A19" i="19"/>
  <c r="B18" i="19"/>
  <c r="A19" i="18"/>
  <c r="B18" i="18"/>
  <c r="A18" i="17"/>
  <c r="B17" i="17"/>
  <c r="A18" i="16"/>
  <c r="B17" i="16"/>
  <c r="A19" i="15"/>
  <c r="B18" i="15"/>
  <c r="A18" i="14"/>
  <c r="B17" i="14"/>
  <c r="A18" i="13"/>
  <c r="B17" i="13"/>
  <c r="A18" i="12"/>
  <c r="B17" i="12"/>
  <c r="A19" i="11"/>
  <c r="B18" i="11"/>
  <c r="A17" i="10"/>
  <c r="B16" i="10"/>
  <c r="A20" i="20" l="1"/>
  <c r="B19" i="20"/>
  <c r="A20" i="19"/>
  <c r="B19" i="19"/>
  <c r="A20" i="18"/>
  <c r="B19" i="18"/>
  <c r="A19" i="17"/>
  <c r="B18" i="17"/>
  <c r="A19" i="16"/>
  <c r="B18" i="16"/>
  <c r="A20" i="15"/>
  <c r="B19" i="15"/>
  <c r="A19" i="14"/>
  <c r="B18" i="14"/>
  <c r="A19" i="13"/>
  <c r="B18" i="13"/>
  <c r="A19" i="12"/>
  <c r="B18" i="12"/>
  <c r="A20" i="11"/>
  <c r="B19" i="11"/>
  <c r="A18" i="10"/>
  <c r="B17" i="10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U45" i="1"/>
  <c r="V45" i="1"/>
  <c r="W45" i="1"/>
  <c r="X45" i="1"/>
  <c r="Y45" i="1"/>
  <c r="Z45" i="1"/>
  <c r="AA45" i="1"/>
  <c r="AB45" i="1"/>
  <c r="AC45" i="1"/>
  <c r="AD45" i="1"/>
  <c r="E45" i="1"/>
  <c r="AD44" i="1"/>
  <c r="AC44" i="1"/>
  <c r="AB44" i="1"/>
  <c r="AA44" i="1"/>
  <c r="Z44" i="1"/>
  <c r="Y44" i="1"/>
  <c r="X44" i="1"/>
  <c r="W44" i="1"/>
  <c r="V44" i="1"/>
  <c r="U44" i="1"/>
  <c r="S44" i="1"/>
  <c r="R44" i="1"/>
  <c r="Q44" i="1"/>
  <c r="P44" i="1"/>
  <c r="M44" i="1"/>
  <c r="L44" i="1"/>
  <c r="K44" i="1"/>
  <c r="S5" i="1"/>
  <c r="S4" i="1"/>
  <c r="M4" i="1"/>
  <c r="M3" i="1"/>
  <c r="B28" i="2"/>
  <c r="A21" i="20" l="1"/>
  <c r="B20" i="20"/>
  <c r="A21" i="19"/>
  <c r="B20" i="19"/>
  <c r="A21" i="18"/>
  <c r="B20" i="18"/>
  <c r="A20" i="17"/>
  <c r="B19" i="17"/>
  <c r="A20" i="16"/>
  <c r="B19" i="16"/>
  <c r="A21" i="15"/>
  <c r="B20" i="15"/>
  <c r="A20" i="14"/>
  <c r="B19" i="14"/>
  <c r="A20" i="13"/>
  <c r="B19" i="13"/>
  <c r="A20" i="12"/>
  <c r="B19" i="12"/>
  <c r="A21" i="11"/>
  <c r="B20" i="11"/>
  <c r="B18" i="10"/>
  <c r="A19" i="10"/>
  <c r="AE38" i="1"/>
  <c r="AE22" i="1"/>
  <c r="AE30" i="1"/>
  <c r="AE24" i="1"/>
  <c r="AE23" i="1"/>
  <c r="AE37" i="1"/>
  <c r="AE31" i="1"/>
  <c r="AE19" i="1"/>
  <c r="G47" i="1"/>
  <c r="E13" i="1"/>
  <c r="D7" i="1"/>
  <c r="A9" i="1"/>
  <c r="A22" i="20" l="1"/>
  <c r="B21" i="20"/>
  <c r="A22" i="19"/>
  <c r="B21" i="19"/>
  <c r="A22" i="18"/>
  <c r="B21" i="18"/>
  <c r="A21" i="17"/>
  <c r="B20" i="17"/>
  <c r="A21" i="16"/>
  <c r="B20" i="16"/>
  <c r="A22" i="15"/>
  <c r="B21" i="15"/>
  <c r="A21" i="14"/>
  <c r="B20" i="14"/>
  <c r="A21" i="13"/>
  <c r="B20" i="13"/>
  <c r="A21" i="12"/>
  <c r="B20" i="12"/>
  <c r="A22" i="11"/>
  <c r="B21" i="11"/>
  <c r="B19" i="10"/>
  <c r="A20" i="10"/>
  <c r="J7" i="1"/>
  <c r="J6" i="1" s="1"/>
  <c r="D6" i="1"/>
  <c r="O44" i="1"/>
  <c r="B22" i="20" l="1"/>
  <c r="A23" i="20"/>
  <c r="B22" i="19"/>
  <c r="A23" i="19"/>
  <c r="A23" i="18"/>
  <c r="B22" i="18"/>
  <c r="A22" i="17"/>
  <c r="B21" i="17"/>
  <c r="A22" i="16"/>
  <c r="B21" i="16"/>
  <c r="B22" i="15"/>
  <c r="A23" i="15"/>
  <c r="A22" i="14"/>
  <c r="B21" i="14"/>
  <c r="A22" i="13"/>
  <c r="B21" i="13"/>
  <c r="A22" i="12"/>
  <c r="B21" i="12"/>
  <c r="B22" i="11"/>
  <c r="A23" i="11"/>
  <c r="A21" i="10"/>
  <c r="B20" i="10"/>
  <c r="P7" i="1"/>
  <c r="AC7" i="1" s="1"/>
  <c r="H44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A24" i="20" l="1"/>
  <c r="B23" i="20"/>
  <c r="A24" i="19"/>
  <c r="B23" i="19"/>
  <c r="A24" i="18"/>
  <c r="B23" i="18"/>
  <c r="A23" i="17"/>
  <c r="B22" i="17"/>
  <c r="B22" i="16"/>
  <c r="A23" i="16"/>
  <c r="A24" i="15"/>
  <c r="B23" i="15"/>
  <c r="B22" i="14"/>
  <c r="A23" i="14"/>
  <c r="A23" i="13"/>
  <c r="B22" i="13"/>
  <c r="A23" i="12"/>
  <c r="B22" i="12"/>
  <c r="A24" i="11"/>
  <c r="B23" i="11"/>
  <c r="A22" i="10"/>
  <c r="B21" i="10"/>
  <c r="E44" i="1"/>
  <c r="A25" i="20" l="1"/>
  <c r="B24" i="20"/>
  <c r="A25" i="19"/>
  <c r="B24" i="19"/>
  <c r="A25" i="18"/>
  <c r="B24" i="18"/>
  <c r="A24" i="17"/>
  <c r="B23" i="17"/>
  <c r="A24" i="16"/>
  <c r="B23" i="16"/>
  <c r="A25" i="15"/>
  <c r="B24" i="15"/>
  <c r="A24" i="14"/>
  <c r="B23" i="14"/>
  <c r="B23" i="13"/>
  <c r="A24" i="13"/>
  <c r="A24" i="12"/>
  <c r="B23" i="12"/>
  <c r="A25" i="11"/>
  <c r="B24" i="11"/>
  <c r="A23" i="10"/>
  <c r="B22" i="10"/>
  <c r="B12" i="1"/>
  <c r="A13" i="1"/>
  <c r="A26" i="20" l="1"/>
  <c r="B25" i="20"/>
  <c r="A26" i="19"/>
  <c r="B25" i="19"/>
  <c r="A26" i="18"/>
  <c r="B25" i="18"/>
  <c r="A25" i="17"/>
  <c r="B24" i="17"/>
  <c r="A25" i="16"/>
  <c r="B24" i="16"/>
  <c r="A26" i="15"/>
  <c r="B25" i="15"/>
  <c r="A25" i="14"/>
  <c r="B24" i="14"/>
  <c r="A25" i="13"/>
  <c r="B24" i="13"/>
  <c r="A25" i="12"/>
  <c r="B24" i="12"/>
  <c r="A26" i="11"/>
  <c r="B25" i="11"/>
  <c r="A24" i="10"/>
  <c r="B23" i="10"/>
  <c r="B13" i="1"/>
  <c r="A14" i="1"/>
  <c r="A27" i="20" l="1"/>
  <c r="B26" i="20"/>
  <c r="A27" i="19"/>
  <c r="B26" i="19"/>
  <c r="A27" i="18"/>
  <c r="B26" i="18"/>
  <c r="A26" i="17"/>
  <c r="B25" i="17"/>
  <c r="A26" i="16"/>
  <c r="B25" i="16"/>
  <c r="A27" i="15"/>
  <c r="B26" i="15"/>
  <c r="A26" i="14"/>
  <c r="B25" i="14"/>
  <c r="A26" i="13"/>
  <c r="B25" i="13"/>
  <c r="A26" i="12"/>
  <c r="B25" i="12"/>
  <c r="A27" i="11"/>
  <c r="B26" i="11"/>
  <c r="B24" i="10"/>
  <c r="A25" i="10"/>
  <c r="AE12" i="1"/>
  <c r="B14" i="1"/>
  <c r="A15" i="1"/>
  <c r="A28" i="20" l="1"/>
  <c r="B27" i="20"/>
  <c r="A28" i="19"/>
  <c r="B27" i="19"/>
  <c r="A28" i="18"/>
  <c r="B27" i="18"/>
  <c r="A27" i="17"/>
  <c r="B26" i="17"/>
  <c r="A27" i="16"/>
  <c r="B26" i="16"/>
  <c r="A28" i="15"/>
  <c r="B27" i="15"/>
  <c r="A27" i="14"/>
  <c r="B26" i="14"/>
  <c r="A27" i="13"/>
  <c r="B26" i="13"/>
  <c r="A27" i="12"/>
  <c r="B26" i="12"/>
  <c r="A28" i="11"/>
  <c r="B27" i="11"/>
  <c r="A26" i="10"/>
  <c r="B25" i="10"/>
  <c r="B15" i="1"/>
  <c r="A16" i="1"/>
  <c r="A29" i="20" l="1"/>
  <c r="B28" i="20"/>
  <c r="A29" i="19"/>
  <c r="B28" i="19"/>
  <c r="B28" i="18"/>
  <c r="A29" i="18"/>
  <c r="A28" i="17"/>
  <c r="B27" i="17"/>
  <c r="A28" i="16"/>
  <c r="B27" i="16"/>
  <c r="A29" i="15"/>
  <c r="B28" i="15"/>
  <c r="A28" i="14"/>
  <c r="B27" i="14"/>
  <c r="A28" i="13"/>
  <c r="B27" i="13"/>
  <c r="A28" i="12"/>
  <c r="B27" i="12"/>
  <c r="B28" i="11"/>
  <c r="A29" i="11"/>
  <c r="A27" i="10"/>
  <c r="B26" i="10"/>
  <c r="AE13" i="1"/>
  <c r="A17" i="1"/>
  <c r="B16" i="1"/>
  <c r="A30" i="20" l="1"/>
  <c r="B29" i="20"/>
  <c r="A30" i="19"/>
  <c r="B29" i="19"/>
  <c r="B29" i="18"/>
  <c r="A30" i="18"/>
  <c r="A29" i="17"/>
  <c r="B28" i="17"/>
  <c r="A29" i="16"/>
  <c r="B28" i="16"/>
  <c r="A30" i="15"/>
  <c r="B29" i="15"/>
  <c r="B28" i="14"/>
  <c r="A29" i="14"/>
  <c r="B28" i="13"/>
  <c r="A29" i="13"/>
  <c r="A29" i="12"/>
  <c r="B28" i="12"/>
  <c r="A30" i="11"/>
  <c r="B29" i="11"/>
  <c r="A28" i="10"/>
  <c r="B27" i="10"/>
  <c r="A18" i="1"/>
  <c r="B17" i="1"/>
  <c r="A31" i="20" l="1"/>
  <c r="B30" i="20"/>
  <c r="A31" i="19"/>
  <c r="B30" i="19"/>
  <c r="A31" i="18"/>
  <c r="B30" i="18"/>
  <c r="A30" i="17"/>
  <c r="B29" i="17"/>
  <c r="A30" i="16"/>
  <c r="B29" i="16"/>
  <c r="A31" i="15"/>
  <c r="B30" i="15"/>
  <c r="A30" i="14"/>
  <c r="B29" i="14"/>
  <c r="A30" i="13"/>
  <c r="B29" i="13"/>
  <c r="A30" i="12"/>
  <c r="B29" i="12"/>
  <c r="A31" i="11"/>
  <c r="B30" i="11"/>
  <c r="A29" i="10"/>
  <c r="B28" i="10"/>
  <c r="A19" i="1"/>
  <c r="B18" i="1"/>
  <c r="A32" i="20" l="1"/>
  <c r="B31" i="20"/>
  <c r="A32" i="19"/>
  <c r="B31" i="19"/>
  <c r="A32" i="18"/>
  <c r="B31" i="18"/>
  <c r="A31" i="17"/>
  <c r="B30" i="17"/>
  <c r="A31" i="16"/>
  <c r="B30" i="16"/>
  <c r="A32" i="15"/>
  <c r="B31" i="15"/>
  <c r="A31" i="14"/>
  <c r="B30" i="14"/>
  <c r="A31" i="13"/>
  <c r="B30" i="13"/>
  <c r="A31" i="12"/>
  <c r="B30" i="12"/>
  <c r="A32" i="11"/>
  <c r="B31" i="11"/>
  <c r="A30" i="10"/>
  <c r="B29" i="10"/>
  <c r="A20" i="1"/>
  <c r="B19" i="1"/>
  <c r="A33" i="20" l="1"/>
  <c r="B32" i="20"/>
  <c r="A33" i="19"/>
  <c r="B32" i="19"/>
  <c r="A33" i="18"/>
  <c r="B32" i="18"/>
  <c r="A32" i="17"/>
  <c r="B31" i="17"/>
  <c r="A32" i="16"/>
  <c r="B31" i="16"/>
  <c r="A33" i="15"/>
  <c r="B32" i="15"/>
  <c r="A32" i="14"/>
  <c r="B31" i="14"/>
  <c r="A32" i="13"/>
  <c r="B31" i="13"/>
  <c r="B31" i="12"/>
  <c r="A32" i="12"/>
  <c r="A33" i="11"/>
  <c r="B32" i="11"/>
  <c r="B30" i="10"/>
  <c r="A31" i="10"/>
  <c r="AE16" i="1"/>
  <c r="A21" i="1"/>
  <c r="B20" i="1"/>
  <c r="A34" i="20" l="1"/>
  <c r="B33" i="20"/>
  <c r="A34" i="19"/>
  <c r="B33" i="19"/>
  <c r="A34" i="18"/>
  <c r="B33" i="18"/>
  <c r="A33" i="17"/>
  <c r="B32" i="17"/>
  <c r="A33" i="16"/>
  <c r="B32" i="16"/>
  <c r="A34" i="15"/>
  <c r="B33" i="15"/>
  <c r="A33" i="14"/>
  <c r="B32" i="14"/>
  <c r="A33" i="13"/>
  <c r="B32" i="13"/>
  <c r="A33" i="12"/>
  <c r="B32" i="12"/>
  <c r="A34" i="11"/>
  <c r="B33" i="11"/>
  <c r="A32" i="10"/>
  <c r="B31" i="10"/>
  <c r="AE17" i="1"/>
  <c r="A22" i="1"/>
  <c r="B21" i="1"/>
  <c r="B34" i="20" l="1"/>
  <c r="A35" i="20"/>
  <c r="B34" i="19"/>
  <c r="A35" i="19"/>
  <c r="A35" i="18"/>
  <c r="B34" i="18"/>
  <c r="A34" i="17"/>
  <c r="B33" i="17"/>
  <c r="A34" i="16"/>
  <c r="B33" i="16"/>
  <c r="A35" i="15"/>
  <c r="B34" i="15"/>
  <c r="A34" i="14"/>
  <c r="B33" i="14"/>
  <c r="A34" i="13"/>
  <c r="B33" i="13"/>
  <c r="A34" i="12"/>
  <c r="B33" i="12"/>
  <c r="B34" i="11"/>
  <c r="A35" i="11"/>
  <c r="A33" i="10"/>
  <c r="B32" i="10"/>
  <c r="AE18" i="1"/>
  <c r="A23" i="1"/>
  <c r="B22" i="1"/>
  <c r="A36" i="20" l="1"/>
  <c r="B35" i="20"/>
  <c r="A36" i="19"/>
  <c r="B35" i="19"/>
  <c r="A36" i="18"/>
  <c r="B35" i="18"/>
  <c r="B34" i="17"/>
  <c r="A35" i="17"/>
  <c r="A35" i="16"/>
  <c r="B34" i="16"/>
  <c r="A36" i="15"/>
  <c r="B35" i="15"/>
  <c r="B34" i="14"/>
  <c r="A35" i="14"/>
  <c r="B34" i="13"/>
  <c r="A35" i="13"/>
  <c r="A35" i="12"/>
  <c r="B34" i="12"/>
  <c r="A36" i="11"/>
  <c r="B35" i="11"/>
  <c r="A34" i="10"/>
  <c r="B33" i="10"/>
  <c r="A24" i="1"/>
  <c r="B23" i="1"/>
  <c r="A37" i="20" l="1"/>
  <c r="B36" i="20"/>
  <c r="A37" i="19"/>
  <c r="B36" i="19"/>
  <c r="A37" i="18"/>
  <c r="B36" i="18"/>
  <c r="A36" i="17"/>
  <c r="B35" i="17"/>
  <c r="A36" i="16"/>
  <c r="B35" i="16"/>
  <c r="A37" i="15"/>
  <c r="B36" i="15"/>
  <c r="A36" i="14"/>
  <c r="B35" i="14"/>
  <c r="A36" i="13"/>
  <c r="B35" i="13"/>
  <c r="A36" i="12"/>
  <c r="B35" i="12"/>
  <c r="A37" i="11"/>
  <c r="B36" i="11"/>
  <c r="A35" i="10"/>
  <c r="B34" i="10"/>
  <c r="AE20" i="1"/>
  <c r="AE21" i="1"/>
  <c r="A25" i="1"/>
  <c r="B24" i="1"/>
  <c r="A38" i="20" l="1"/>
  <c r="B37" i="20"/>
  <c r="A38" i="19"/>
  <c r="B37" i="19"/>
  <c r="A38" i="18"/>
  <c r="B37" i="18"/>
  <c r="A37" i="17"/>
  <c r="B36" i="17"/>
  <c r="A37" i="16"/>
  <c r="B36" i="16"/>
  <c r="A38" i="15"/>
  <c r="B37" i="15"/>
  <c r="A37" i="14"/>
  <c r="B36" i="14"/>
  <c r="A37" i="13"/>
  <c r="B36" i="13"/>
  <c r="A37" i="12"/>
  <c r="B36" i="12"/>
  <c r="A38" i="11"/>
  <c r="B37" i="11"/>
  <c r="A36" i="10"/>
  <c r="B35" i="10"/>
  <c r="A26" i="1"/>
  <c r="B25" i="1"/>
  <c r="A39" i="20" l="1"/>
  <c r="B38" i="20"/>
  <c r="A39" i="19"/>
  <c r="B38" i="19"/>
  <c r="A39" i="18"/>
  <c r="B38" i="18"/>
  <c r="A38" i="17"/>
  <c r="B37" i="17"/>
  <c r="A38" i="16"/>
  <c r="B37" i="16"/>
  <c r="A39" i="15"/>
  <c r="B38" i="15"/>
  <c r="A38" i="14"/>
  <c r="B37" i="14"/>
  <c r="A38" i="13"/>
  <c r="B37" i="13"/>
  <c r="B37" i="12"/>
  <c r="A38" i="12"/>
  <c r="A39" i="11"/>
  <c r="B38" i="11"/>
  <c r="B36" i="10"/>
  <c r="A37" i="10"/>
  <c r="A27" i="1"/>
  <c r="B26" i="1"/>
  <c r="A40" i="20" l="1"/>
  <c r="B39" i="20"/>
  <c r="A40" i="19"/>
  <c r="B39" i="19"/>
  <c r="A40" i="18"/>
  <c r="B39" i="18"/>
  <c r="A39" i="17"/>
  <c r="B38" i="17"/>
  <c r="A39" i="16"/>
  <c r="B38" i="16"/>
  <c r="A40" i="15"/>
  <c r="B39" i="15"/>
  <c r="A39" i="14"/>
  <c r="B38" i="14"/>
  <c r="A39" i="13"/>
  <c r="B38" i="13"/>
  <c r="A39" i="12"/>
  <c r="B38" i="12"/>
  <c r="A40" i="11"/>
  <c r="B39" i="11"/>
  <c r="A38" i="10"/>
  <c r="B37" i="10"/>
  <c r="A28" i="1"/>
  <c r="B27" i="1"/>
  <c r="A41" i="20" l="1"/>
  <c r="B40" i="20"/>
  <c r="B40" i="19"/>
  <c r="A41" i="19"/>
  <c r="A41" i="18"/>
  <c r="B40" i="18"/>
  <c r="A40" i="17"/>
  <c r="B39" i="17"/>
  <c r="A40" i="16"/>
  <c r="B39" i="16"/>
  <c r="A41" i="15"/>
  <c r="B40" i="15"/>
  <c r="A40" i="14"/>
  <c r="B39" i="14"/>
  <c r="A40" i="13"/>
  <c r="B39" i="13"/>
  <c r="A40" i="12"/>
  <c r="B39" i="12"/>
  <c r="A41" i="11"/>
  <c r="B40" i="11"/>
  <c r="A39" i="10"/>
  <c r="B38" i="10"/>
  <c r="AE25" i="1"/>
  <c r="A29" i="1"/>
  <c r="B28" i="1"/>
  <c r="A42" i="20" l="1"/>
  <c r="B41" i="20"/>
  <c r="B41" i="19"/>
  <c r="A42" i="18"/>
  <c r="B41" i="18"/>
  <c r="A41" i="17"/>
  <c r="B40" i="17"/>
  <c r="A41" i="16"/>
  <c r="B40" i="16"/>
  <c r="A42" i="15"/>
  <c r="B41" i="15"/>
  <c r="A41" i="14"/>
  <c r="B40" i="14"/>
  <c r="A41" i="13"/>
  <c r="B40" i="13"/>
  <c r="A41" i="12"/>
  <c r="B40" i="12"/>
  <c r="B41" i="11"/>
  <c r="A42" i="11"/>
  <c r="B39" i="10"/>
  <c r="A30" i="1"/>
  <c r="B29" i="1"/>
  <c r="J44" i="20" l="1"/>
  <c r="B42" i="20"/>
  <c r="J44" i="19"/>
  <c r="J44" i="18"/>
  <c r="B42" i="18"/>
  <c r="B41" i="17"/>
  <c r="A42" i="16"/>
  <c r="B41" i="16"/>
  <c r="J44" i="15"/>
  <c r="B42" i="15"/>
  <c r="B41" i="14"/>
  <c r="A42" i="13"/>
  <c r="B41" i="13"/>
  <c r="B41" i="12"/>
  <c r="J44" i="11"/>
  <c r="B42" i="11"/>
  <c r="AE26" i="1"/>
  <c r="AE27" i="1"/>
  <c r="A31" i="1"/>
  <c r="B30" i="1"/>
  <c r="J44" i="17" l="1"/>
  <c r="J44" i="16"/>
  <c r="B42" i="16"/>
  <c r="J44" i="14"/>
  <c r="J44" i="13"/>
  <c r="B42" i="13"/>
  <c r="J44" i="12"/>
  <c r="A32" i="1"/>
  <c r="B31" i="1"/>
  <c r="I44" i="20" l="1"/>
  <c r="I44" i="19"/>
  <c r="I44" i="18"/>
  <c r="I44" i="15"/>
  <c r="I44" i="11"/>
  <c r="J44" i="10"/>
  <c r="AE29" i="1"/>
  <c r="AE28" i="1"/>
  <c r="A33" i="1"/>
  <c r="B32" i="1"/>
  <c r="F44" i="20" l="1"/>
  <c r="F44" i="19"/>
  <c r="F44" i="18"/>
  <c r="I44" i="17"/>
  <c r="I44" i="16"/>
  <c r="F44" i="15"/>
  <c r="I44" i="14"/>
  <c r="I44" i="13"/>
  <c r="I44" i="12"/>
  <c r="F44" i="11"/>
  <c r="A34" i="1"/>
  <c r="B33" i="1"/>
  <c r="G46" i="20" l="1"/>
  <c r="P46" i="20" s="1"/>
  <c r="G46" i="19"/>
  <c r="P46" i="19" s="1"/>
  <c r="G46" i="18"/>
  <c r="P46" i="18" s="1"/>
  <c r="F44" i="17"/>
  <c r="F44" i="16"/>
  <c r="G46" i="15"/>
  <c r="P46" i="15" s="1"/>
  <c r="F44" i="14"/>
  <c r="F44" i="13"/>
  <c r="F44" i="12"/>
  <c r="G46" i="11"/>
  <c r="P46" i="11" s="1"/>
  <c r="I44" i="10"/>
  <c r="A35" i="1"/>
  <c r="B34" i="1"/>
  <c r="G46" i="17" l="1"/>
  <c r="P46" i="17" s="1"/>
  <c r="G46" i="16"/>
  <c r="P46" i="16" s="1"/>
  <c r="G46" i="14"/>
  <c r="P46" i="14" s="1"/>
  <c r="G46" i="13"/>
  <c r="P46" i="13" s="1"/>
  <c r="G46" i="12"/>
  <c r="P46" i="12" s="1"/>
  <c r="F44" i="10"/>
  <c r="A36" i="1"/>
  <c r="B35" i="1"/>
  <c r="G46" i="10" l="1"/>
  <c r="P46" i="10" s="1"/>
  <c r="AE32" i="1"/>
  <c r="A37" i="1"/>
  <c r="B36" i="1"/>
  <c r="AE33" i="1" l="1"/>
  <c r="A38" i="1"/>
  <c r="B37" i="1"/>
  <c r="AE34" i="1" l="1"/>
  <c r="A39" i="1"/>
  <c r="B38" i="1"/>
  <c r="AE35" i="1" l="1"/>
  <c r="A40" i="1"/>
  <c r="B39" i="1"/>
  <c r="AE36" i="1" l="1"/>
  <c r="A41" i="1"/>
  <c r="B40" i="1"/>
  <c r="A42" i="1" l="1"/>
  <c r="B41" i="1"/>
  <c r="AE39" i="1" l="1"/>
  <c r="J44" i="1"/>
  <c r="B42" i="1"/>
  <c r="G44" i="1" l="1"/>
  <c r="AE40" i="1"/>
  <c r="I44" i="1"/>
  <c r="AE41" i="1"/>
  <c r="AE14" i="1"/>
  <c r="AE15" i="1"/>
  <c r="F44" i="1" l="1"/>
  <c r="N44" i="1" l="1"/>
  <c r="AE42" i="1"/>
  <c r="G46" i="1"/>
  <c r="P46" i="1" s="1"/>
</calcChain>
</file>

<file path=xl/sharedStrings.xml><?xml version="1.0" encoding="utf-8"?>
<sst xmlns="http://schemas.openxmlformats.org/spreadsheetml/2006/main" count="815" uniqueCount="116">
  <si>
    <t>***</t>
  </si>
  <si>
    <t>Datum</t>
  </si>
  <si>
    <t>Dan</t>
  </si>
  <si>
    <t>Početak rada</t>
  </si>
  <si>
    <t>Završetak rada</t>
  </si>
  <si>
    <t>Nova godina</t>
  </si>
  <si>
    <t>Sveta tri kralja</t>
  </si>
  <si>
    <t>Uskrs</t>
  </si>
  <si>
    <t>Uskrsni ponedjeljak</t>
  </si>
  <si>
    <t>Praznik rada</t>
  </si>
  <si>
    <t>Tijelovo</t>
  </si>
  <si>
    <t>Dan državnosti</t>
  </si>
  <si>
    <t>Dan antifašističke borbe</t>
  </si>
  <si>
    <t>Dan pobjede i domovinske zahvalnosti i Dan hrvatskih branitelja</t>
  </si>
  <si>
    <t>Velika gospa</t>
  </si>
  <si>
    <t>Dan svih svetih</t>
  </si>
  <si>
    <t>Dan sjećanja na žrtve Domovinskog rata i Dan sjećanja na žrtvu Vukovara i Škabrnje</t>
  </si>
  <si>
    <t>Božić</t>
  </si>
  <si>
    <t>Drugi dan Božića (Sv. Stjepan)</t>
  </si>
  <si>
    <t>Ukupno sati</t>
  </si>
  <si>
    <t>2.smjena</t>
  </si>
  <si>
    <t>1.smjena</t>
  </si>
  <si>
    <t>Noćni rad</t>
  </si>
  <si>
    <t>Rad Nedjeljom</t>
  </si>
  <si>
    <t>Rad praznikom</t>
  </si>
  <si>
    <t>Raspored 1.smjena</t>
  </si>
  <si>
    <t>Raspored 2.smjena</t>
  </si>
  <si>
    <t>Vrijeme terenskog rada</t>
  </si>
  <si>
    <t>Prekovremeni rad</t>
  </si>
  <si>
    <t>Vrijeme pripravnosti</t>
  </si>
  <si>
    <t>Dnevni odmor</t>
  </si>
  <si>
    <t>Tjedni odmor</t>
  </si>
  <si>
    <t>Godišnji odmor</t>
  </si>
  <si>
    <t>Neradni dani - blagdani</t>
  </si>
  <si>
    <t>Privremena nesposobnost za rad - do 42 dana</t>
  </si>
  <si>
    <t>Privremena nesposobnost za rad - iznad 42 dana</t>
  </si>
  <si>
    <t>Plaćeni dopust - odsustnost s rada</t>
  </si>
  <si>
    <t>Sati očinskog dopusta i dopusta drugog posvojitelja</t>
  </si>
  <si>
    <t>Neplaćeni dopust - pruž.osobne skrbi</t>
  </si>
  <si>
    <t>Neplaćen dopust kandidata - razno</t>
  </si>
  <si>
    <t>Neplaćeni dopust - na zahtjev radnika</t>
  </si>
  <si>
    <t>Krivnje radnika - ne obavlja ugovorene poslove</t>
  </si>
  <si>
    <t>štrajka</t>
  </si>
  <si>
    <t>Vrijeme / Sati nazočnosti na poslu</t>
  </si>
  <si>
    <t>Vrijeme / Sati nenazočnosti na poslu zbog</t>
  </si>
  <si>
    <t>Datum početka</t>
  </si>
  <si>
    <t>Datum kraja</t>
  </si>
  <si>
    <t>Broj radnih dana</t>
  </si>
  <si>
    <t>Broj radnih sati</t>
  </si>
  <si>
    <t>Mogući broj sati u mjesecu</t>
  </si>
  <si>
    <t>Ime i prezime radnika:</t>
  </si>
  <si>
    <t>OIB radnika:</t>
  </si>
  <si>
    <t>NAZIV TVRTKE I OIB:</t>
  </si>
  <si>
    <t>EVIDENCIJA O RADNOM VREMENU ZAPOSLENIKA</t>
  </si>
  <si>
    <t>RAD U SMJENAMA ?</t>
  </si>
  <si>
    <t>NE</t>
  </si>
  <si>
    <t>Ovdje upišite opće podatke o tvrtki da se mogu raspodijeliti po obrascima .</t>
  </si>
  <si>
    <t>PODACI O TVRTKI</t>
  </si>
  <si>
    <t>IME I PREZIME obrtnika / NAZIV TVRTKE</t>
  </si>
  <si>
    <t>MOLIMO OVJDE UPISATI PODATKE OD TVRTKE - POSLODAVCA</t>
  </si>
  <si>
    <t>OIB</t>
  </si>
  <si>
    <t>12345678910</t>
  </si>
  <si>
    <t>OVI PODACI SE AUTOMATSKI PRENOSE NA POJEDINAČNE MJESEČNE LISTE</t>
  </si>
  <si>
    <t>MB OBRTA / MB</t>
  </si>
  <si>
    <t>12345678</t>
  </si>
  <si>
    <t>MATIČNI BROJ OBRTA / MBS</t>
  </si>
  <si>
    <t>321321321321321</t>
  </si>
  <si>
    <t>ŠIFRA DJELATNOSTI</t>
  </si>
  <si>
    <t>1425</t>
  </si>
  <si>
    <t>NAZIV DJELATNOSTI</t>
  </si>
  <si>
    <t>NEŠTO</t>
  </si>
  <si>
    <t>IBAN</t>
  </si>
  <si>
    <t>HR1210010051863000160</t>
  </si>
  <si>
    <t>ADRESA</t>
  </si>
  <si>
    <t>ADRESA 1</t>
  </si>
  <si>
    <t>GRAD, ULICA I BROJ</t>
  </si>
  <si>
    <t>GRAD, ADRESA 1</t>
  </si>
  <si>
    <t>NASELJE</t>
  </si>
  <si>
    <t>PODACI O RADNIKU</t>
  </si>
  <si>
    <t>IME I PREZIME</t>
  </si>
  <si>
    <t>MARICA MARINČIĆ</t>
  </si>
  <si>
    <t>MOLIMO OVDJE UPISATI PODATKE O RADNIKU</t>
  </si>
  <si>
    <t>78945612389</t>
  </si>
  <si>
    <t>DATUM ROĐENJA</t>
  </si>
  <si>
    <t>DATUM POČETKA RADA</t>
  </si>
  <si>
    <t>DATUM ZAVRŠETKA RADA</t>
  </si>
  <si>
    <t>SATI RADA</t>
  </si>
  <si>
    <t>Satnica - Pon-Pet po 8 sati ?</t>
  </si>
  <si>
    <t>DA</t>
  </si>
  <si>
    <t>Satnica - Pon-Sub - 7 + 5 ?</t>
  </si>
  <si>
    <t>Obračunavati minuli rad ? DA / NE</t>
  </si>
  <si>
    <t>Godišnji iz prethodne godine za prenijeti</t>
  </si>
  <si>
    <t>Državni praznik</t>
  </si>
  <si>
    <t>Bogojavljenje ili Sveta tri kralja</t>
  </si>
  <si>
    <t>Velika Gospa</t>
  </si>
  <si>
    <t>Dan sjećanja na žrtve Domovinskog rata</t>
  </si>
  <si>
    <t>Sveti Stjepan</t>
  </si>
  <si>
    <t>KARLOVAC</t>
  </si>
  <si>
    <t>Broj sati nazočnosti na poslu:</t>
  </si>
  <si>
    <t>Broj sati NEnazočnosti na poslu:</t>
  </si>
  <si>
    <t>Ukupan broj sati :</t>
  </si>
  <si>
    <t>Krivnja poslodavca - zastoj</t>
  </si>
  <si>
    <t>Postotak minulog rada:</t>
  </si>
  <si>
    <t>Porodiljni - rodiljni dopust</t>
  </si>
  <si>
    <t>TVRTKA ABC D.O.O.</t>
  </si>
  <si>
    <t>7 + 5</t>
  </si>
  <si>
    <t>Vojna obveza ili služenje u ugovornoj pričuvi</t>
  </si>
  <si>
    <t>isključenja s rada - lockout</t>
  </si>
  <si>
    <t>MJESEC</t>
  </si>
  <si>
    <t>GODINA</t>
  </si>
  <si>
    <t>email zaposlenika</t>
  </si>
  <si>
    <t>info@metro-servis.hr</t>
  </si>
  <si>
    <t>MOŽETE IH I COPY + PASTE IZ OBRASCA ERA PRETHODNE GODINE</t>
  </si>
  <si>
    <t>E-MAIL radnika:</t>
  </si>
  <si>
    <t>www.metro-servis.hr</t>
  </si>
  <si>
    <t>KONTROLNI ZBROJ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</si>
</sst>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/;@"/>
    <numFmt numFmtId="165" formatCode="d/m/;@"/>
    <numFmt numFmtId="166" formatCode="0.0"/>
  </numFmts>
  <fonts count="36" x14ac:knownFonts="1">
    <font>
      <sz val="9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5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b/>
      <sz val="12"/>
      <color theme="6" tint="-0.499984740745262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12"/>
      <color theme="6" tint="-0.49998474074526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9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6"/>
      <color theme="0"/>
      <name val="Calibri"/>
      <family val="2"/>
      <charset val="238"/>
      <scheme val="minor"/>
    </font>
    <font>
      <sz val="5"/>
      <color theme="0"/>
      <name val="Calibri"/>
      <family val="2"/>
      <charset val="238"/>
      <scheme val="minor"/>
    </font>
    <font>
      <sz val="6"/>
      <color theme="1"/>
      <name val="Calibri Light"/>
      <family val="2"/>
      <charset val="238"/>
      <scheme val="major"/>
    </font>
    <font>
      <sz val="7"/>
      <color theme="0"/>
      <name val="Calibri"/>
      <family val="2"/>
      <charset val="238"/>
      <scheme val="minor"/>
    </font>
    <font>
      <sz val="7"/>
      <color theme="0"/>
      <name val="Calibri Light"/>
      <family val="2"/>
      <charset val="238"/>
      <scheme val="major"/>
    </font>
    <font>
      <sz val="6"/>
      <name val="Calibri"/>
      <family val="2"/>
      <charset val="238"/>
      <scheme val="minor"/>
    </font>
    <font>
      <sz val="5"/>
      <name val="Calibri"/>
      <family val="2"/>
      <charset val="238"/>
      <scheme val="minor"/>
    </font>
    <font>
      <b/>
      <sz val="8"/>
      <color rgb="FFC00000"/>
      <name val="Calibri"/>
      <family val="2"/>
      <charset val="238"/>
      <scheme val="minor"/>
    </font>
    <font>
      <sz val="9"/>
      <color rgb="FFC00000"/>
      <name val="Calibri"/>
      <family val="2"/>
      <charset val="238"/>
      <scheme val="minor"/>
    </font>
    <font>
      <sz val="9"/>
      <color rgb="FFFF0000"/>
      <name val="Calibri"/>
      <family val="2"/>
      <charset val="238"/>
      <scheme val="minor"/>
    </font>
    <font>
      <u/>
      <sz val="9"/>
      <color theme="1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7"/>
      <color theme="1"/>
      <name val="Calibri"/>
      <family val="2"/>
      <charset val="238"/>
      <scheme val="minor"/>
    </font>
    <font>
      <b/>
      <sz val="7"/>
      <color theme="0"/>
      <name val="Calibri"/>
      <family val="2"/>
      <charset val="238"/>
      <scheme val="minor"/>
    </font>
    <font>
      <b/>
      <sz val="8"/>
      <color theme="0"/>
      <name val="Calibri"/>
      <family val="2"/>
      <charset val="238"/>
      <scheme val="minor"/>
    </font>
    <font>
      <b/>
      <sz val="9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6"/>
      <color theme="4"/>
      <name val="Calibri"/>
      <family val="2"/>
      <charset val="238"/>
      <scheme val="minor"/>
    </font>
    <font>
      <b/>
      <sz val="5"/>
      <color theme="4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126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0" fontId="4" fillId="0" borderId="0" xfId="0" applyFont="1"/>
    <xf numFmtId="49" fontId="6" fillId="0" borderId="0" xfId="0" applyNumberFormat="1" applyFont="1"/>
    <xf numFmtId="49" fontId="0" fillId="0" borderId="0" xfId="0" applyNumberFormat="1" applyAlignment="1">
      <alignment vertical="center"/>
    </xf>
    <xf numFmtId="49" fontId="6" fillId="0" borderId="0" xfId="0" applyNumberFormat="1" applyFont="1" applyAlignment="1">
      <alignment vertical="center"/>
    </xf>
    <xf numFmtId="49" fontId="0" fillId="0" borderId="1" xfId="0" applyNumberFormat="1" applyBorder="1" applyAlignment="1">
      <alignment vertical="center"/>
    </xf>
    <xf numFmtId="49" fontId="8" fillId="7" borderId="1" xfId="0" applyNumberFormat="1" applyFont="1" applyFill="1" applyBorder="1" applyAlignment="1" applyProtection="1">
      <alignment vertical="center"/>
      <protection locked="0"/>
    </xf>
    <xf numFmtId="0" fontId="9" fillId="0" borderId="0" xfId="0" applyFont="1"/>
    <xf numFmtId="49" fontId="10" fillId="0" borderId="1" xfId="0" applyNumberFormat="1" applyFont="1" applyBorder="1" applyAlignment="1">
      <alignment vertical="center"/>
    </xf>
    <xf numFmtId="0" fontId="11" fillId="0" borderId="0" xfId="0" applyFont="1" applyProtection="1">
      <protection locked="0"/>
    </xf>
    <xf numFmtId="164" fontId="8" fillId="7" borderId="1" xfId="0" applyNumberFormat="1" applyFont="1" applyFill="1" applyBorder="1" applyAlignment="1" applyProtection="1">
      <alignment horizontal="left" vertical="center"/>
      <protection locked="0"/>
    </xf>
    <xf numFmtId="164" fontId="8" fillId="2" borderId="1" xfId="0" applyNumberFormat="1" applyFont="1" applyFill="1" applyBorder="1" applyAlignment="1" applyProtection="1">
      <alignment horizontal="left" vertical="center"/>
      <protection locked="0"/>
    </xf>
    <xf numFmtId="2" fontId="8" fillId="2" borderId="1" xfId="0" applyNumberFormat="1" applyFont="1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>
      <alignment vertical="center"/>
    </xf>
    <xf numFmtId="2" fontId="8" fillId="0" borderId="1" xfId="0" applyNumberFormat="1" applyFont="1" applyBorder="1" applyAlignment="1">
      <alignment horizontal="left" vertical="center"/>
    </xf>
    <xf numFmtId="0" fontId="12" fillId="0" borderId="0" xfId="0" applyFont="1"/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18" fillId="7" borderId="1" xfId="0" applyNumberFormat="1" applyFont="1" applyFill="1" applyBorder="1" applyAlignment="1">
      <alignment horizontal="center" vertical="center" textRotation="90" wrapText="1"/>
    </xf>
    <xf numFmtId="2" fontId="18" fillId="5" borderId="1" xfId="0" applyNumberFormat="1" applyFont="1" applyFill="1" applyBorder="1" applyAlignment="1">
      <alignment horizontal="center" vertical="center" textRotation="90" wrapText="1"/>
    </xf>
    <xf numFmtId="2" fontId="18" fillId="6" borderId="1" xfId="0" applyNumberFormat="1" applyFont="1" applyFill="1" applyBorder="1" applyAlignment="1">
      <alignment horizontal="center" vertical="center" textRotation="90" wrapText="1"/>
    </xf>
    <xf numFmtId="166" fontId="4" fillId="3" borderId="1" xfId="0" applyNumberFormat="1" applyFont="1" applyFill="1" applyBorder="1" applyAlignment="1">
      <alignment vertical="center"/>
    </xf>
    <xf numFmtId="0" fontId="14" fillId="0" borderId="0" xfId="0" applyFont="1"/>
    <xf numFmtId="164" fontId="19" fillId="0" borderId="0" xfId="0" applyNumberFormat="1" applyFont="1"/>
    <xf numFmtId="0" fontId="19" fillId="0" borderId="0" xfId="0" applyFont="1" applyAlignment="1">
      <alignment vertical="center"/>
    </xf>
    <xf numFmtId="0" fontId="19" fillId="0" borderId="0" xfId="0" applyFont="1"/>
    <xf numFmtId="164" fontId="19" fillId="0" borderId="0" xfId="0" applyNumberFormat="1" applyFont="1" applyAlignment="1">
      <alignment horizontal="center"/>
    </xf>
    <xf numFmtId="0" fontId="20" fillId="0" borderId="0" xfId="0" applyFont="1" applyAlignment="1">
      <alignment vertical="center" wrapText="1"/>
    </xf>
    <xf numFmtId="0" fontId="22" fillId="0" borderId="0" xfId="0" applyFont="1"/>
    <xf numFmtId="2" fontId="18" fillId="4" borderId="1" xfId="0" applyNumberFormat="1" applyFont="1" applyFill="1" applyBorder="1" applyAlignment="1">
      <alignment horizontal="center" vertical="center" textRotation="90" wrapText="1"/>
    </xf>
    <xf numFmtId="2" fontId="18" fillId="8" borderId="1" xfId="0" applyNumberFormat="1" applyFont="1" applyFill="1" applyBorder="1" applyAlignment="1">
      <alignment horizontal="center" vertical="center" textRotation="90" wrapText="1"/>
    </xf>
    <xf numFmtId="49" fontId="18" fillId="0" borderId="1" xfId="0" applyNumberFormat="1" applyFont="1" applyBorder="1" applyAlignment="1">
      <alignment horizontal="center" vertical="center" textRotation="90" wrapText="1"/>
    </xf>
    <xf numFmtId="2" fontId="18" fillId="0" borderId="1" xfId="0" applyNumberFormat="1" applyFont="1" applyBorder="1" applyAlignment="1">
      <alignment horizontal="center" vertical="center" textRotation="90" wrapText="1"/>
    </xf>
    <xf numFmtId="0" fontId="22" fillId="0" borderId="0" xfId="0" applyFont="1" applyAlignment="1">
      <alignment vertical="center"/>
    </xf>
    <xf numFmtId="2" fontId="1" fillId="2" borderId="1" xfId="0" applyNumberFormat="1" applyFont="1" applyFill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6" fontId="4" fillId="4" borderId="1" xfId="0" applyNumberFormat="1" applyFont="1" applyFill="1" applyBorder="1" applyAlignment="1">
      <alignment vertical="center"/>
    </xf>
    <xf numFmtId="166" fontId="4" fillId="8" borderId="1" xfId="0" applyNumberFormat="1" applyFont="1" applyFill="1" applyBorder="1" applyAlignment="1">
      <alignment vertical="center"/>
    </xf>
    <xf numFmtId="166" fontId="4" fillId="7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14" fontId="14" fillId="0" borderId="0" xfId="0" applyNumberFormat="1" applyFont="1"/>
    <xf numFmtId="0" fontId="15" fillId="0" borderId="0" xfId="0" applyFont="1" applyAlignment="1">
      <alignment vertical="center"/>
    </xf>
    <xf numFmtId="2" fontId="3" fillId="2" borderId="1" xfId="0" applyNumberFormat="1" applyFont="1" applyFill="1" applyBorder="1" applyAlignment="1">
      <alignment vertical="center"/>
    </xf>
    <xf numFmtId="2" fontId="4" fillId="0" borderId="5" xfId="0" applyNumberFormat="1" applyFont="1" applyBorder="1" applyAlignment="1">
      <alignment horizontal="center" vertical="center" textRotation="90" wrapText="1"/>
    </xf>
    <xf numFmtId="2" fontId="4" fillId="0" borderId="1" xfId="0" applyNumberFormat="1" applyFont="1" applyBorder="1" applyAlignment="1">
      <alignment horizontal="center" vertical="center" textRotation="90" wrapText="1"/>
    </xf>
    <xf numFmtId="166" fontId="4" fillId="0" borderId="1" xfId="1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23" fillId="0" borderId="1" xfId="0" applyFont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49" fontId="26" fillId="7" borderId="1" xfId="3" applyNumberFormat="1" applyFill="1" applyBorder="1" applyAlignment="1" applyProtection="1">
      <alignment vertical="center"/>
      <protection locked="0"/>
    </xf>
    <xf numFmtId="49" fontId="0" fillId="6" borderId="1" xfId="0" applyNumberFormat="1" applyFill="1" applyBorder="1" applyAlignment="1">
      <alignment vertical="center"/>
    </xf>
    <xf numFmtId="49" fontId="2" fillId="6" borderId="2" xfId="0" applyNumberFormat="1" applyFont="1" applyFill="1" applyBorder="1" applyAlignment="1">
      <alignment vertical="center"/>
    </xf>
    <xf numFmtId="49" fontId="7" fillId="6" borderId="4" xfId="0" applyNumberFormat="1" applyFont="1" applyFill="1" applyBorder="1" applyAlignment="1" applyProtection="1">
      <alignment vertical="center"/>
      <protection locked="0"/>
    </xf>
    <xf numFmtId="49" fontId="7" fillId="6" borderId="4" xfId="0" applyNumberFormat="1" applyFont="1" applyFill="1" applyBorder="1" applyAlignment="1">
      <alignment vertical="center"/>
    </xf>
    <xf numFmtId="0" fontId="28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164" fontId="29" fillId="0" borderId="0" xfId="0" applyNumberFormat="1" applyFont="1"/>
    <xf numFmtId="2" fontId="18" fillId="6" borderId="2" xfId="0" applyNumberFormat="1" applyFont="1" applyFill="1" applyBorder="1" applyAlignment="1">
      <alignment horizontal="center" vertical="center" textRotation="90" wrapText="1"/>
    </xf>
    <xf numFmtId="166" fontId="4" fillId="0" borderId="2" xfId="0" applyNumberFormat="1" applyFont="1" applyBorder="1" applyAlignment="1">
      <alignment vertical="center"/>
    </xf>
    <xf numFmtId="166" fontId="4" fillId="3" borderId="2" xfId="0" applyNumberFormat="1" applyFont="1" applyFill="1" applyBorder="1" applyAlignment="1">
      <alignment vertical="center"/>
    </xf>
    <xf numFmtId="2" fontId="4" fillId="0" borderId="2" xfId="0" applyNumberFormat="1" applyFont="1" applyBorder="1" applyAlignment="1">
      <alignment horizontal="center" vertical="center" textRotation="90" wrapText="1"/>
    </xf>
    <xf numFmtId="0" fontId="21" fillId="0" borderId="0" xfId="0" applyFont="1" applyAlignment="1">
      <alignment horizontal="left"/>
    </xf>
    <xf numFmtId="2" fontId="31" fillId="0" borderId="0" xfId="0" applyNumberFormat="1" applyFont="1" applyAlignment="1">
      <alignment vertical="center" wrapText="1"/>
    </xf>
    <xf numFmtId="2" fontId="16" fillId="0" borderId="0" xfId="0" applyNumberFormat="1" applyFont="1" applyAlignment="1">
      <alignment horizontal="left" vertical="center"/>
    </xf>
    <xf numFmtId="2" fontId="16" fillId="0" borderId="0" xfId="0" applyNumberFormat="1" applyFont="1" applyAlignment="1">
      <alignment horizontal="center" vertical="center" textRotation="90" wrapText="1"/>
    </xf>
    <xf numFmtId="49" fontId="21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right" vertical="center"/>
    </xf>
    <xf numFmtId="0" fontId="21" fillId="0" borderId="0" xfId="0" applyFont="1"/>
    <xf numFmtId="166" fontId="17" fillId="0" borderId="0" xfId="0" applyNumberFormat="1" applyFont="1" applyAlignment="1">
      <alignment vertical="center"/>
    </xf>
    <xf numFmtId="166" fontId="17" fillId="0" borderId="0" xfId="0" applyNumberFormat="1" applyFont="1" applyAlignment="1">
      <alignment horizontal="right" vertical="center"/>
    </xf>
    <xf numFmtId="49" fontId="26" fillId="0" borderId="0" xfId="3" applyNumberFormat="1"/>
    <xf numFmtId="0" fontId="27" fillId="6" borderId="0" xfId="0" applyFont="1" applyFill="1" applyAlignment="1">
      <alignment horizontal="center"/>
    </xf>
    <xf numFmtId="165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2" fontId="1" fillId="2" borderId="1" xfId="0" quotePrefix="1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0" fontId="1" fillId="0" borderId="1" xfId="2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vertical="center"/>
    </xf>
    <xf numFmtId="2" fontId="34" fillId="0" borderId="0" xfId="0" applyNumberFormat="1" applyFont="1" applyAlignment="1">
      <alignment horizontal="center" vertical="center" textRotation="90" wrapText="1"/>
    </xf>
    <xf numFmtId="166" fontId="35" fillId="0" borderId="0" xfId="0" applyNumberFormat="1" applyFont="1" applyAlignment="1">
      <alignment vertical="center"/>
    </xf>
    <xf numFmtId="166" fontId="35" fillId="0" borderId="0" xfId="0" applyNumberFormat="1" applyFont="1" applyAlignment="1">
      <alignment horizontal="center" vertical="center"/>
    </xf>
    <xf numFmtId="2" fontId="30" fillId="0" borderId="0" xfId="0" applyNumberFormat="1" applyFont="1" applyAlignment="1">
      <alignment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36"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  <dxf>
      <font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etro-servis.hr/" TargetMode="External"/><Relationship Id="rId1" Type="http://schemas.openxmlformats.org/officeDocument/2006/relationships/hyperlink" Target="mailto:info@metro-servis.h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BFBF-F797-4133-A737-3F3AFDFB1D3F}">
  <dimension ref="A1:S47"/>
  <sheetViews>
    <sheetView workbookViewId="0">
      <selection activeCell="B51" sqref="B51"/>
    </sheetView>
  </sheetViews>
  <sheetFormatPr defaultRowHeight="15.75" x14ac:dyDescent="0.25"/>
  <cols>
    <col min="1" max="1" width="40.33203125" customWidth="1"/>
    <col min="2" max="2" width="43.6640625" style="17" customWidth="1"/>
    <col min="3" max="3" width="11.83203125" bestFit="1" customWidth="1"/>
    <col min="4" max="4" width="11.6640625" bestFit="1" customWidth="1"/>
    <col min="14" max="14" width="9.33203125" style="67"/>
    <col min="15" max="15" width="8.83203125" style="67" customWidth="1"/>
    <col min="16" max="16" width="8.83203125" style="75" customWidth="1"/>
    <col min="17" max="17" width="8.83203125" style="74" customWidth="1"/>
    <col min="18" max="18" width="8.83203125" style="32" customWidth="1"/>
    <col min="19" max="19" width="8.83203125" style="29" customWidth="1"/>
    <col min="20" max="23" width="8.83203125" customWidth="1"/>
  </cols>
  <sheetData>
    <row r="1" spans="1:17" x14ac:dyDescent="0.25">
      <c r="A1" s="89" t="s">
        <v>114</v>
      </c>
      <c r="B1" s="4"/>
      <c r="P1" s="30"/>
      <c r="Q1" s="31"/>
    </row>
    <row r="2" spans="1:17" x14ac:dyDescent="0.2">
      <c r="A2" s="5" t="s">
        <v>56</v>
      </c>
      <c r="B2" s="6"/>
      <c r="M2" s="66"/>
      <c r="P2" s="30"/>
      <c r="Q2" s="31"/>
    </row>
    <row r="3" spans="1:17" x14ac:dyDescent="0.2">
      <c r="A3" s="70" t="s">
        <v>57</v>
      </c>
      <c r="B3" s="72"/>
      <c r="M3" s="66"/>
      <c r="P3" s="33">
        <v>46023</v>
      </c>
      <c r="Q3" s="34" t="s">
        <v>5</v>
      </c>
    </row>
    <row r="4" spans="1:17" ht="18" x14ac:dyDescent="0.25">
      <c r="A4" s="7" t="s">
        <v>58</v>
      </c>
      <c r="B4" s="8" t="s">
        <v>104</v>
      </c>
      <c r="D4" s="9" t="s">
        <v>59</v>
      </c>
      <c r="M4" s="66"/>
      <c r="P4" s="33">
        <v>46028</v>
      </c>
      <c r="Q4" s="34" t="s">
        <v>6</v>
      </c>
    </row>
    <row r="5" spans="1:17" x14ac:dyDescent="0.25">
      <c r="A5" s="7" t="s">
        <v>60</v>
      </c>
      <c r="B5" s="8" t="s">
        <v>61</v>
      </c>
      <c r="D5" s="9" t="s">
        <v>62</v>
      </c>
      <c r="M5" s="66"/>
      <c r="P5" s="33">
        <v>46117</v>
      </c>
      <c r="Q5" s="34" t="s">
        <v>7</v>
      </c>
    </row>
    <row r="6" spans="1:17" ht="18.75" x14ac:dyDescent="0.3">
      <c r="A6" s="7" t="s">
        <v>63</v>
      </c>
      <c r="B6" s="8" t="s">
        <v>64</v>
      </c>
      <c r="D6" s="90" t="s">
        <v>112</v>
      </c>
      <c r="E6" s="90"/>
      <c r="F6" s="90"/>
      <c r="G6" s="90"/>
      <c r="H6" s="90"/>
      <c r="I6" s="90"/>
      <c r="J6" s="90"/>
      <c r="K6" s="90"/>
      <c r="L6" s="90"/>
      <c r="M6" s="90"/>
      <c r="P6" s="33">
        <v>46118</v>
      </c>
      <c r="Q6" s="34" t="s">
        <v>8</v>
      </c>
    </row>
    <row r="7" spans="1:17" x14ac:dyDescent="0.2">
      <c r="A7" s="10" t="s">
        <v>65</v>
      </c>
      <c r="B7" s="8" t="s">
        <v>66</v>
      </c>
      <c r="M7" s="66"/>
      <c r="P7" s="33">
        <v>46143</v>
      </c>
      <c r="Q7" s="34" t="s">
        <v>9</v>
      </c>
    </row>
    <row r="8" spans="1:17" x14ac:dyDescent="0.2">
      <c r="A8" s="7" t="s">
        <v>67</v>
      </c>
      <c r="B8" s="8" t="s">
        <v>68</v>
      </c>
      <c r="M8" s="66"/>
      <c r="P8" s="33">
        <v>46172</v>
      </c>
      <c r="Q8" s="34" t="s">
        <v>10</v>
      </c>
    </row>
    <row r="9" spans="1:17" ht="18" x14ac:dyDescent="0.2">
      <c r="A9" s="7" t="s">
        <v>69</v>
      </c>
      <c r="B9" s="8" t="s">
        <v>70</v>
      </c>
      <c r="M9" s="66"/>
      <c r="P9" s="33">
        <v>46177</v>
      </c>
      <c r="Q9" s="34" t="s">
        <v>11</v>
      </c>
    </row>
    <row r="10" spans="1:17" ht="27" x14ac:dyDescent="0.2">
      <c r="A10" s="7" t="s">
        <v>71</v>
      </c>
      <c r="B10" s="8" t="s">
        <v>72</v>
      </c>
      <c r="M10" s="66"/>
      <c r="P10" s="33">
        <v>46195</v>
      </c>
      <c r="Q10" s="34" t="s">
        <v>12</v>
      </c>
    </row>
    <row r="11" spans="1:17" ht="63" x14ac:dyDescent="0.2">
      <c r="A11" s="7"/>
      <c r="B11" s="8"/>
      <c r="M11" s="66"/>
      <c r="P11" s="33">
        <v>46239</v>
      </c>
      <c r="Q11" s="34" t="s">
        <v>13</v>
      </c>
    </row>
    <row r="12" spans="1:17" x14ac:dyDescent="0.2">
      <c r="A12" s="7" t="s">
        <v>73</v>
      </c>
      <c r="B12" s="8" t="s">
        <v>74</v>
      </c>
      <c r="M12" s="66"/>
      <c r="P12" s="33">
        <v>46249</v>
      </c>
      <c r="Q12" s="34" t="s">
        <v>14</v>
      </c>
    </row>
    <row r="13" spans="1:17" ht="18" x14ac:dyDescent="0.2">
      <c r="A13" s="7" t="s">
        <v>75</v>
      </c>
      <c r="B13" s="8" t="s">
        <v>76</v>
      </c>
      <c r="M13" s="66"/>
      <c r="P13" s="33">
        <v>46327</v>
      </c>
      <c r="Q13" s="34" t="s">
        <v>15</v>
      </c>
    </row>
    <row r="14" spans="1:17" ht="72" x14ac:dyDescent="0.2">
      <c r="A14" s="7" t="s">
        <v>77</v>
      </c>
      <c r="B14" s="8" t="s">
        <v>77</v>
      </c>
      <c r="M14" s="66"/>
      <c r="P14" s="33">
        <v>46344</v>
      </c>
      <c r="Q14" s="34" t="s">
        <v>16</v>
      </c>
    </row>
    <row r="15" spans="1:17" x14ac:dyDescent="0.25">
      <c r="B15" s="11"/>
      <c r="M15" s="66"/>
      <c r="P15" s="33">
        <v>46381</v>
      </c>
      <c r="Q15" s="34" t="s">
        <v>17</v>
      </c>
    </row>
    <row r="16" spans="1:17" ht="27" x14ac:dyDescent="0.25">
      <c r="B16" s="11"/>
      <c r="M16" s="66"/>
      <c r="P16" s="33">
        <v>46382</v>
      </c>
      <c r="Q16" s="34" t="s">
        <v>18</v>
      </c>
    </row>
    <row r="17" spans="1:17" x14ac:dyDescent="0.25">
      <c r="A17" s="70" t="s">
        <v>78</v>
      </c>
      <c r="B17" s="71"/>
      <c r="D17" s="9" t="s">
        <v>81</v>
      </c>
      <c r="M17" s="66"/>
      <c r="P17" s="30"/>
      <c r="Q17" s="31"/>
    </row>
    <row r="18" spans="1:17" x14ac:dyDescent="0.25">
      <c r="A18" s="7" t="s">
        <v>79</v>
      </c>
      <c r="B18" s="8" t="s">
        <v>80</v>
      </c>
      <c r="D18" s="9" t="s">
        <v>62</v>
      </c>
      <c r="M18" s="66"/>
      <c r="P18" s="30"/>
      <c r="Q18" s="31"/>
    </row>
    <row r="19" spans="1:17" ht="18.75" x14ac:dyDescent="0.3">
      <c r="A19" s="7" t="s">
        <v>60</v>
      </c>
      <c r="B19" s="8" t="s">
        <v>82</v>
      </c>
      <c r="C19" s="56">
        <f ca="1">+TODAY()</f>
        <v>46028</v>
      </c>
      <c r="D19" s="90" t="s">
        <v>112</v>
      </c>
      <c r="E19" s="90"/>
      <c r="F19" s="90"/>
      <c r="G19" s="90"/>
      <c r="H19" s="90"/>
      <c r="I19" s="90"/>
      <c r="J19" s="90"/>
      <c r="K19" s="90"/>
      <c r="L19" s="90"/>
      <c r="M19" s="90"/>
      <c r="P19" s="30"/>
      <c r="Q19" s="31"/>
    </row>
    <row r="20" spans="1:17" x14ac:dyDescent="0.2">
      <c r="A20" s="7" t="s">
        <v>83</v>
      </c>
      <c r="B20" s="12">
        <v>35916</v>
      </c>
      <c r="D20" s="57"/>
      <c r="M20" s="66"/>
    </row>
    <row r="21" spans="1:17" x14ac:dyDescent="0.2">
      <c r="A21" s="7" t="s">
        <v>73</v>
      </c>
      <c r="B21" s="8" t="s">
        <v>74</v>
      </c>
    </row>
    <row r="22" spans="1:17" x14ac:dyDescent="0.2">
      <c r="A22" s="7" t="s">
        <v>75</v>
      </c>
      <c r="B22" s="8" t="s">
        <v>97</v>
      </c>
    </row>
    <row r="23" spans="1:17" x14ac:dyDescent="0.2">
      <c r="A23" s="7" t="s">
        <v>77</v>
      </c>
      <c r="B23" s="8"/>
    </row>
    <row r="24" spans="1:17" x14ac:dyDescent="0.2">
      <c r="A24" s="7" t="s">
        <v>84</v>
      </c>
      <c r="B24" s="13">
        <v>45275</v>
      </c>
    </row>
    <row r="25" spans="1:17" x14ac:dyDescent="0.2">
      <c r="A25" s="7" t="s">
        <v>85</v>
      </c>
      <c r="B25" s="13"/>
    </row>
    <row r="26" spans="1:17" x14ac:dyDescent="0.2">
      <c r="A26" s="7" t="s">
        <v>86</v>
      </c>
      <c r="B26" s="14">
        <v>8</v>
      </c>
    </row>
    <row r="27" spans="1:17" x14ac:dyDescent="0.2">
      <c r="A27" s="15" t="s">
        <v>87</v>
      </c>
      <c r="B27" s="14" t="s">
        <v>88</v>
      </c>
    </row>
    <row r="28" spans="1:17" x14ac:dyDescent="0.2">
      <c r="A28" s="15" t="s">
        <v>89</v>
      </c>
      <c r="B28" s="16" t="str">
        <f>+IF(+B27="NE","DA","NE")</f>
        <v>NE</v>
      </c>
    </row>
    <row r="29" spans="1:17" x14ac:dyDescent="0.2">
      <c r="A29" s="7" t="s">
        <v>90</v>
      </c>
      <c r="B29" s="14" t="s">
        <v>88</v>
      </c>
    </row>
    <row r="30" spans="1:17" x14ac:dyDescent="0.2">
      <c r="A30" s="7" t="s">
        <v>91</v>
      </c>
      <c r="B30" s="14">
        <v>5</v>
      </c>
    </row>
    <row r="31" spans="1:17" ht="20.25" customHeight="1" x14ac:dyDescent="0.2">
      <c r="A31" s="69" t="s">
        <v>110</v>
      </c>
      <c r="B31" s="68" t="s">
        <v>111</v>
      </c>
    </row>
    <row r="33" spans="1:4" ht="12" x14ac:dyDescent="0.2">
      <c r="A33" s="18" t="s">
        <v>1</v>
      </c>
      <c r="B33" s="18" t="s">
        <v>92</v>
      </c>
      <c r="C33" s="73" t="s">
        <v>2</v>
      </c>
      <c r="D33" s="19"/>
    </row>
    <row r="34" spans="1:4" ht="12" x14ac:dyDescent="0.2">
      <c r="A34" s="20">
        <v>46023</v>
      </c>
      <c r="B34" s="18" t="s">
        <v>5</v>
      </c>
      <c r="C34" s="73" t="str">
        <f>+TEXT(A34,"ddd")</f>
        <v>čet</v>
      </c>
      <c r="D34" s="19"/>
    </row>
    <row r="35" spans="1:4" ht="12" x14ac:dyDescent="0.2">
      <c r="A35" s="20">
        <v>46028</v>
      </c>
      <c r="B35" s="18" t="s">
        <v>93</v>
      </c>
      <c r="C35" s="73" t="str">
        <f t="shared" ref="C35:C47" si="0">+TEXT(A35,"ddd")</f>
        <v>uto</v>
      </c>
      <c r="D35" s="19"/>
    </row>
    <row r="36" spans="1:4" ht="12" x14ac:dyDescent="0.2">
      <c r="A36" s="20">
        <v>46117</v>
      </c>
      <c r="B36" s="18" t="s">
        <v>7</v>
      </c>
      <c r="C36" s="65" t="str">
        <f t="shared" si="0"/>
        <v>ned</v>
      </c>
      <c r="D36" s="19"/>
    </row>
    <row r="37" spans="1:4" ht="12" x14ac:dyDescent="0.2">
      <c r="A37" s="20">
        <v>46118</v>
      </c>
      <c r="B37" s="18" t="s">
        <v>8</v>
      </c>
      <c r="C37" s="73" t="str">
        <f t="shared" si="0"/>
        <v>pon</v>
      </c>
      <c r="D37" s="19"/>
    </row>
    <row r="38" spans="1:4" ht="12" x14ac:dyDescent="0.2">
      <c r="A38" s="20">
        <v>46143</v>
      </c>
      <c r="B38" s="18" t="s">
        <v>9</v>
      </c>
      <c r="C38" s="73" t="str">
        <f t="shared" si="0"/>
        <v>pet</v>
      </c>
      <c r="D38" s="19"/>
    </row>
    <row r="39" spans="1:4" ht="12" x14ac:dyDescent="0.2">
      <c r="A39" s="20">
        <v>46172</v>
      </c>
      <c r="B39" s="18" t="s">
        <v>11</v>
      </c>
      <c r="C39" s="73" t="str">
        <f t="shared" si="0"/>
        <v>sub</v>
      </c>
      <c r="D39" s="19"/>
    </row>
    <row r="40" spans="1:4" ht="12" x14ac:dyDescent="0.2">
      <c r="A40" s="20">
        <v>46177</v>
      </c>
      <c r="B40" s="18" t="s">
        <v>10</v>
      </c>
      <c r="C40" s="73" t="str">
        <f t="shared" si="0"/>
        <v>čet</v>
      </c>
      <c r="D40" s="19"/>
    </row>
    <row r="41" spans="1:4" ht="12" x14ac:dyDescent="0.2">
      <c r="A41" s="20">
        <v>46195</v>
      </c>
      <c r="B41" s="18" t="s">
        <v>12</v>
      </c>
      <c r="C41" s="73" t="str">
        <f t="shared" si="0"/>
        <v>pon</v>
      </c>
      <c r="D41" s="19"/>
    </row>
    <row r="42" spans="1:4" ht="22.5" x14ac:dyDescent="0.2">
      <c r="A42" s="20">
        <v>46239</v>
      </c>
      <c r="B42" s="18" t="s">
        <v>13</v>
      </c>
      <c r="C42" s="73" t="str">
        <f t="shared" si="0"/>
        <v>sri</v>
      </c>
      <c r="D42" s="19"/>
    </row>
    <row r="43" spans="1:4" ht="12" x14ac:dyDescent="0.2">
      <c r="A43" s="20">
        <v>46249</v>
      </c>
      <c r="B43" s="18" t="s">
        <v>94</v>
      </c>
      <c r="C43" s="73" t="str">
        <f t="shared" si="0"/>
        <v>sub</v>
      </c>
      <c r="D43" s="19"/>
    </row>
    <row r="44" spans="1:4" ht="12" x14ac:dyDescent="0.2">
      <c r="A44" s="20">
        <v>46327</v>
      </c>
      <c r="B44" s="18" t="s">
        <v>15</v>
      </c>
      <c r="C44" s="65" t="str">
        <f t="shared" si="0"/>
        <v>ned</v>
      </c>
      <c r="D44" s="19"/>
    </row>
    <row r="45" spans="1:4" ht="12" x14ac:dyDescent="0.2">
      <c r="A45" s="20">
        <v>46344</v>
      </c>
      <c r="B45" s="18" t="s">
        <v>95</v>
      </c>
      <c r="C45" s="73" t="str">
        <f t="shared" si="0"/>
        <v>sri</v>
      </c>
      <c r="D45" s="19"/>
    </row>
    <row r="46" spans="1:4" ht="12" x14ac:dyDescent="0.2">
      <c r="A46" s="20">
        <v>46381</v>
      </c>
      <c r="B46" s="18" t="s">
        <v>17</v>
      </c>
      <c r="C46" s="73" t="str">
        <f t="shared" si="0"/>
        <v>pet</v>
      </c>
      <c r="D46" s="19"/>
    </row>
    <row r="47" spans="1:4" ht="12" x14ac:dyDescent="0.2">
      <c r="A47" s="20">
        <v>46382</v>
      </c>
      <c r="B47" s="18" t="s">
        <v>96</v>
      </c>
      <c r="C47" s="73" t="str">
        <f t="shared" si="0"/>
        <v>sub</v>
      </c>
      <c r="D47" s="19"/>
    </row>
  </sheetData>
  <mergeCells count="2">
    <mergeCell ref="D6:M6"/>
    <mergeCell ref="D19:M19"/>
  </mergeCells>
  <hyperlinks>
    <hyperlink ref="B31" r:id="rId1" xr:uid="{1AC8BE25-3F74-4B77-8D7E-379D43161BDD}"/>
    <hyperlink ref="A1" r:id="rId2" xr:uid="{DC422F85-9884-4674-A544-8E36538BE3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40B3-53BE-42DD-AD40-89C4C09F3095}">
  <dimension ref="A1:AV47"/>
  <sheetViews>
    <sheetView tabSelected="1" view="pageLayout" zoomScale="145" zoomScaleNormal="175" zoomScalePageLayoutView="145" workbookViewId="0">
      <selection activeCell="V6" sqref="V6:W6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">
        <v>55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1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46023</v>
      </c>
      <c r="E7" s="93"/>
      <c r="F7" s="93"/>
      <c r="G7" s="94" t="s">
        <v>46</v>
      </c>
      <c r="H7" s="94"/>
      <c r="I7" s="94"/>
      <c r="J7" s="93">
        <f>+EOMONTH(D7,0)</f>
        <v>46053</v>
      </c>
      <c r="K7" s="93"/>
      <c r="L7" s="93"/>
      <c r="M7" s="94" t="s">
        <v>47</v>
      </c>
      <c r="N7" s="94"/>
      <c r="O7" s="94"/>
      <c r="P7" s="108">
        <f>+NETWORKDAYS(D7,J7,0)</f>
        <v>22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176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46023</v>
      </c>
      <c r="B12" s="48" t="str">
        <f>+TEXT(A12,"DDD")</f>
        <v>čet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2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46024</v>
      </c>
      <c r="B13" s="48" t="str">
        <f t="shared" ref="B13:B42" si="1">+TEXT(A13,"DDD")</f>
        <v>pet</v>
      </c>
      <c r="C13" s="49"/>
      <c r="D13" s="49"/>
      <c r="E13" s="50">
        <f t="shared" ref="E13:E42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2" si="3">+A13+1</f>
        <v>46025</v>
      </c>
      <c r="B14" s="48" t="str">
        <f t="shared" si="1"/>
        <v>sub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46026</v>
      </c>
      <c r="B15" s="48" t="str">
        <f t="shared" si="1"/>
        <v>ned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46027</v>
      </c>
      <c r="B16" s="48" t="str">
        <f t="shared" si="1"/>
        <v>pon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46028</v>
      </c>
      <c r="B17" s="48" t="str">
        <f t="shared" si="1"/>
        <v>uto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46029</v>
      </c>
      <c r="B18" s="48" t="str">
        <f t="shared" si="1"/>
        <v>sri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46030</v>
      </c>
      <c r="B19" s="48" t="str">
        <f t="shared" si="1"/>
        <v>čet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46031</v>
      </c>
      <c r="B20" s="48" t="str">
        <f t="shared" si="1"/>
        <v>pet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46032</v>
      </c>
      <c r="B21" s="48" t="str">
        <f t="shared" si="1"/>
        <v>sub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46033</v>
      </c>
      <c r="B22" s="48" t="str">
        <f t="shared" si="1"/>
        <v>ned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46034</v>
      </c>
      <c r="B23" s="48" t="str">
        <f t="shared" si="1"/>
        <v>pon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46035</v>
      </c>
      <c r="B24" s="48" t="str">
        <f t="shared" si="1"/>
        <v>uto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46036</v>
      </c>
      <c r="B25" s="48" t="str">
        <f t="shared" si="1"/>
        <v>sri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46037</v>
      </c>
      <c r="B26" s="48" t="str">
        <f t="shared" si="1"/>
        <v>čet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46038</v>
      </c>
      <c r="B27" s="48" t="str">
        <f t="shared" si="1"/>
        <v>pet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46039</v>
      </c>
      <c r="B28" s="48" t="str">
        <f t="shared" si="1"/>
        <v>sub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46040</v>
      </c>
      <c r="B29" s="48" t="str">
        <f t="shared" si="1"/>
        <v>ned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46041</v>
      </c>
      <c r="B30" s="48" t="str">
        <f t="shared" si="1"/>
        <v>pon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46042</v>
      </c>
      <c r="B31" s="48" t="str">
        <f t="shared" si="1"/>
        <v>uto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46043</v>
      </c>
      <c r="B32" s="48" t="str">
        <f t="shared" si="1"/>
        <v>sri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46044</v>
      </c>
      <c r="B33" s="48" t="str">
        <f t="shared" si="1"/>
        <v>čet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46045</v>
      </c>
      <c r="B34" s="48" t="str">
        <f t="shared" si="1"/>
        <v>pet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46046</v>
      </c>
      <c r="B35" s="48" t="str">
        <f t="shared" si="1"/>
        <v>sub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46047</v>
      </c>
      <c r="B36" s="48" t="str">
        <f t="shared" si="1"/>
        <v>ned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46048</v>
      </c>
      <c r="B37" s="48" t="str">
        <f t="shared" si="1"/>
        <v>pon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46049</v>
      </c>
      <c r="B38" s="48" t="str">
        <f t="shared" si="1"/>
        <v>uto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46050</v>
      </c>
      <c r="B39" s="48" t="str">
        <f t="shared" si="1"/>
        <v>sri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46051</v>
      </c>
      <c r="B40" s="48" t="str">
        <f t="shared" si="1"/>
        <v>čet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46052</v>
      </c>
      <c r="B41" s="48" t="str">
        <f t="shared" si="1"/>
        <v>pet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>
        <f t="shared" si="3"/>
        <v>46053</v>
      </c>
      <c r="B42" s="48" t="str">
        <f t="shared" si="1"/>
        <v>sub</v>
      </c>
      <c r="C42" s="49"/>
      <c r="D42" s="49"/>
      <c r="E42" s="50">
        <f t="shared" si="2"/>
        <v>0</v>
      </c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>
        <f t="shared" si="0"/>
        <v>0</v>
      </c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ref="T44" si="5">SUM(T12:T43)</f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6">+F10</f>
        <v>1.smjena</v>
      </c>
      <c r="G45" s="59" t="str">
        <f t="shared" si="6"/>
        <v>2.smjena</v>
      </c>
      <c r="H45" s="59" t="str">
        <f t="shared" si="6"/>
        <v>Noćni rad</v>
      </c>
      <c r="I45" s="60" t="str">
        <f t="shared" si="6"/>
        <v>Rad Nedjeljom</v>
      </c>
      <c r="J45" s="60" t="str">
        <f t="shared" si="6"/>
        <v>Rad praznikom</v>
      </c>
      <c r="K45" s="60" t="str">
        <f t="shared" si="6"/>
        <v>Prekovremeni rad</v>
      </c>
      <c r="L45" s="60" t="str">
        <f t="shared" si="6"/>
        <v>Vrijeme terenskog rada</v>
      </c>
      <c r="M45" s="60" t="str">
        <f t="shared" si="6"/>
        <v>Vrijeme pripravnosti</v>
      </c>
      <c r="N45" s="60" t="str">
        <f t="shared" si="6"/>
        <v>Dnevni odmor</v>
      </c>
      <c r="O45" s="60" t="str">
        <f t="shared" si="6"/>
        <v>Tjedni odmor</v>
      </c>
      <c r="P45" s="60" t="str">
        <f t="shared" si="6"/>
        <v>Godišnji odmor</v>
      </c>
      <c r="Q45" s="60" t="str">
        <f t="shared" si="6"/>
        <v>Neradni dani - blagdani</v>
      </c>
      <c r="R45" s="60" t="str">
        <f t="shared" si="6"/>
        <v>Privremena nesposobnost za rad - do 42 dana</v>
      </c>
      <c r="S45" s="60" t="str">
        <f t="shared" si="6"/>
        <v>Privremena nesposobnost za rad - iznad 42 dana</v>
      </c>
      <c r="T45" s="60" t="str">
        <f t="shared" si="6"/>
        <v>Porodiljni - rodiljni dopust</v>
      </c>
      <c r="U45" s="60" t="str">
        <f t="shared" si="6"/>
        <v>Plaćeni dopust - odsustnost s rada</v>
      </c>
      <c r="V45" s="60" t="str">
        <f t="shared" si="6"/>
        <v>Sati očinskog dopusta i dopusta drugog posvojitelja</v>
      </c>
      <c r="W45" s="60" t="str">
        <f t="shared" si="6"/>
        <v>Neplaćeni dopust - pruž.osobne skrbi</v>
      </c>
      <c r="X45" s="60" t="str">
        <f t="shared" si="6"/>
        <v>Neplaćen dopust kandidata - razno</v>
      </c>
      <c r="Y45" s="60" t="str">
        <f t="shared" si="6"/>
        <v>Neplaćeni dopust - na zahtjev radnika</v>
      </c>
      <c r="Z45" s="60" t="str">
        <f t="shared" si="6"/>
        <v>Krivnje radnika - ne obavlja ugovorene poslove</v>
      </c>
      <c r="AA45" s="60" t="str">
        <f t="shared" si="6"/>
        <v>Krivnja poslodavca - zastoj</v>
      </c>
      <c r="AB45" s="60" t="str">
        <f t="shared" si="6"/>
        <v>Vojna obveza ili služenje u ugovornoj pričuvi</v>
      </c>
      <c r="AC45" s="60" t="str">
        <f t="shared" si="6"/>
        <v>štrajka</v>
      </c>
      <c r="AD45" s="79" t="str">
        <f t="shared" si="6"/>
        <v>isključenja s rada - lockout</v>
      </c>
      <c r="AE45" s="122" t="str">
        <f t="shared" si="6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V6:W6"/>
    <mergeCell ref="X6:AB6"/>
    <mergeCell ref="AC6:AD6"/>
    <mergeCell ref="S46:W46"/>
    <mergeCell ref="X46:Y46"/>
    <mergeCell ref="S5:AD5"/>
    <mergeCell ref="A1:AD1"/>
    <mergeCell ref="X7:AB7"/>
    <mergeCell ref="AC7:AD7"/>
    <mergeCell ref="G3:L3"/>
    <mergeCell ref="G4:L4"/>
    <mergeCell ref="G5:L5"/>
    <mergeCell ref="M3:R3"/>
    <mergeCell ref="M4:R4"/>
    <mergeCell ref="M5:R5"/>
    <mergeCell ref="V7:W7"/>
    <mergeCell ref="J7:L7"/>
    <mergeCell ref="M7:O7"/>
    <mergeCell ref="P7:Q7"/>
    <mergeCell ref="A47:F47"/>
    <mergeCell ref="G46:H46"/>
    <mergeCell ref="G47:H47"/>
    <mergeCell ref="J46:O46"/>
    <mergeCell ref="N9:AD9"/>
    <mergeCell ref="F9:M9"/>
    <mergeCell ref="A9:E9"/>
    <mergeCell ref="P46:Q46"/>
    <mergeCell ref="G7:I7"/>
    <mergeCell ref="A46:F46"/>
    <mergeCell ref="A2:D2"/>
    <mergeCell ref="E2:F2"/>
    <mergeCell ref="G2:AD2"/>
    <mergeCell ref="A3:D3"/>
    <mergeCell ref="A4:D4"/>
    <mergeCell ref="S4:AD4"/>
    <mergeCell ref="S3:AD3"/>
    <mergeCell ref="A5:D5"/>
    <mergeCell ref="A7:C7"/>
    <mergeCell ref="D7:F7"/>
    <mergeCell ref="R7:U7"/>
    <mergeCell ref="D6:F6"/>
    <mergeCell ref="G6:I6"/>
    <mergeCell ref="J6:L6"/>
    <mergeCell ref="R6:U6"/>
    <mergeCell ref="A6:C6"/>
    <mergeCell ref="M6:Q6"/>
  </mergeCells>
  <conditionalFormatting sqref="A12:B42">
    <cfRule type="expression" dxfId="35" priority="4">
      <formula>ISNUMBER(VLOOKUP(+$A12,Praznici2024,1,0))</formula>
    </cfRule>
    <cfRule type="expression" dxfId="34" priority="10">
      <formula>+$B12="ned"</formula>
    </cfRule>
  </conditionalFormatting>
  <conditionalFormatting sqref="AE12:AE42">
    <cfRule type="expression" dxfId="33" priority="3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1F57-EDF2-4A93-BA31-1C0D6014F0DD}">
  <dimension ref="A1:AV47"/>
  <sheetViews>
    <sheetView view="pageLayout" zoomScale="130" zoomScaleNormal="175" zoomScalePageLayoutView="130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2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46054</v>
      </c>
      <c r="E7" s="93"/>
      <c r="F7" s="93"/>
      <c r="G7" s="94" t="s">
        <v>46</v>
      </c>
      <c r="H7" s="94"/>
      <c r="I7" s="94"/>
      <c r="J7" s="93">
        <f>+EOMONTH(D7,0)</f>
        <v>46081</v>
      </c>
      <c r="K7" s="93"/>
      <c r="L7" s="93"/>
      <c r="M7" s="94" t="s">
        <v>47</v>
      </c>
      <c r="N7" s="94"/>
      <c r="O7" s="94"/>
      <c r="P7" s="108">
        <f>+NETWORKDAYS(D7,J7,0)</f>
        <v>20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160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46054</v>
      </c>
      <c r="B12" s="48" t="str">
        <f>+TEXT(A12,"DDD")</f>
        <v>ned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39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46055</v>
      </c>
      <c r="B13" s="48" t="str">
        <f t="shared" ref="B13:B39" si="1">+TEXT(A13,"DDD")</f>
        <v>pon</v>
      </c>
      <c r="C13" s="49"/>
      <c r="D13" s="49"/>
      <c r="E13" s="50">
        <f t="shared" ref="E13:E39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39" si="3">+A13+1</f>
        <v>46056</v>
      </c>
      <c r="B14" s="48" t="str">
        <f t="shared" si="1"/>
        <v>uto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46057</v>
      </c>
      <c r="B15" s="48" t="str">
        <f t="shared" si="1"/>
        <v>sri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46058</v>
      </c>
      <c r="B16" s="48" t="str">
        <f t="shared" si="1"/>
        <v>čet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46059</v>
      </c>
      <c r="B17" s="48" t="str">
        <f t="shared" si="1"/>
        <v>pet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46060</v>
      </c>
      <c r="B18" s="48" t="str">
        <f t="shared" si="1"/>
        <v>sub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46061</v>
      </c>
      <c r="B19" s="48" t="str">
        <f t="shared" si="1"/>
        <v>ned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46062</v>
      </c>
      <c r="B20" s="48" t="str">
        <f t="shared" si="1"/>
        <v>pon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46063</v>
      </c>
      <c r="B21" s="48" t="str">
        <f t="shared" si="1"/>
        <v>uto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46064</v>
      </c>
      <c r="B22" s="48" t="str">
        <f t="shared" si="1"/>
        <v>sri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46065</v>
      </c>
      <c r="B23" s="48" t="str">
        <f t="shared" si="1"/>
        <v>čet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46066</v>
      </c>
      <c r="B24" s="48" t="str">
        <f t="shared" si="1"/>
        <v>pet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46067</v>
      </c>
      <c r="B25" s="48" t="str">
        <f t="shared" si="1"/>
        <v>sub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46068</v>
      </c>
      <c r="B26" s="48" t="str">
        <f t="shared" si="1"/>
        <v>ned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46069</v>
      </c>
      <c r="B27" s="48" t="str">
        <f t="shared" si="1"/>
        <v>pon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46070</v>
      </c>
      <c r="B28" s="48" t="str">
        <f t="shared" si="1"/>
        <v>uto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46071</v>
      </c>
      <c r="B29" s="48" t="str">
        <f t="shared" si="1"/>
        <v>sri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46072</v>
      </c>
      <c r="B30" s="48" t="str">
        <f t="shared" si="1"/>
        <v>čet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46073</v>
      </c>
      <c r="B31" s="48" t="str">
        <f t="shared" si="1"/>
        <v>pet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46074</v>
      </c>
      <c r="B32" s="48" t="str">
        <f t="shared" si="1"/>
        <v>sub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46075</v>
      </c>
      <c r="B33" s="48" t="str">
        <f t="shared" si="1"/>
        <v>ned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46076</v>
      </c>
      <c r="B34" s="48" t="str">
        <f t="shared" si="1"/>
        <v>pon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46077</v>
      </c>
      <c r="B35" s="48" t="str">
        <f t="shared" si="1"/>
        <v>uto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46078</v>
      </c>
      <c r="B36" s="48" t="str">
        <f t="shared" si="1"/>
        <v>sri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46079</v>
      </c>
      <c r="B37" s="48" t="str">
        <f t="shared" si="1"/>
        <v>čet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46080</v>
      </c>
      <c r="B38" s="48" t="str">
        <f t="shared" si="1"/>
        <v>pet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46081</v>
      </c>
      <c r="B39" s="48" t="str">
        <f t="shared" si="1"/>
        <v>sub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/>
      <c r="B40" s="48"/>
      <c r="C40" s="49"/>
      <c r="D40" s="49"/>
      <c r="E40" s="50"/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/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/>
      <c r="B41" s="48"/>
      <c r="C41" s="49"/>
      <c r="D41" s="49"/>
      <c r="E41" s="50"/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/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/>
      <c r="B42" s="48"/>
      <c r="C42" s="49"/>
      <c r="D42" s="49"/>
      <c r="E42" s="50"/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/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32" priority="3">
      <formula>ISNUMBER(VLOOKUP(+$A12,Praznici2024,1,0))</formula>
    </cfRule>
    <cfRule type="expression" dxfId="31" priority="4">
      <formula>+$B12="ned"</formula>
    </cfRule>
  </conditionalFormatting>
  <conditionalFormatting sqref="AE12:AE42">
    <cfRule type="expression" dxfId="30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70D0-A0F0-4485-B511-6E85CAC891D6}">
  <dimension ref="A1:AV47"/>
  <sheetViews>
    <sheetView view="pageLayout" zoomScaleNormal="175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3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46082</v>
      </c>
      <c r="E7" s="93"/>
      <c r="F7" s="93"/>
      <c r="G7" s="94" t="s">
        <v>46</v>
      </c>
      <c r="H7" s="94"/>
      <c r="I7" s="94"/>
      <c r="J7" s="93">
        <f>+EOMONTH(D7,0)</f>
        <v>46112</v>
      </c>
      <c r="K7" s="93"/>
      <c r="L7" s="93"/>
      <c r="M7" s="94" t="s">
        <v>47</v>
      </c>
      <c r="N7" s="94"/>
      <c r="O7" s="94"/>
      <c r="P7" s="108">
        <f>+NETWORKDAYS(D7,J7,0)</f>
        <v>22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176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46082</v>
      </c>
      <c r="B12" s="48" t="str">
        <f>+TEXT(A12,"DDD")</f>
        <v>ned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2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46083</v>
      </c>
      <c r="B13" s="48" t="str">
        <f t="shared" ref="B13:B42" si="1">+TEXT(A13,"DDD")</f>
        <v>pon</v>
      </c>
      <c r="C13" s="49"/>
      <c r="D13" s="49"/>
      <c r="E13" s="50">
        <f t="shared" ref="E13:E42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2" si="3">+A13+1</f>
        <v>46084</v>
      </c>
      <c r="B14" s="48" t="str">
        <f t="shared" si="1"/>
        <v>uto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46085</v>
      </c>
      <c r="B15" s="48" t="str">
        <f t="shared" si="1"/>
        <v>sri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46086</v>
      </c>
      <c r="B16" s="48" t="str">
        <f t="shared" si="1"/>
        <v>čet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46087</v>
      </c>
      <c r="B17" s="48" t="str">
        <f t="shared" si="1"/>
        <v>pet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46088</v>
      </c>
      <c r="B18" s="48" t="str">
        <f t="shared" si="1"/>
        <v>sub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46089</v>
      </c>
      <c r="B19" s="48" t="str">
        <f t="shared" si="1"/>
        <v>ned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46090</v>
      </c>
      <c r="B20" s="48" t="str">
        <f t="shared" si="1"/>
        <v>pon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46091</v>
      </c>
      <c r="B21" s="48" t="str">
        <f t="shared" si="1"/>
        <v>uto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46092</v>
      </c>
      <c r="B22" s="48" t="str">
        <f t="shared" si="1"/>
        <v>sri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46093</v>
      </c>
      <c r="B23" s="48" t="str">
        <f t="shared" si="1"/>
        <v>čet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46094</v>
      </c>
      <c r="B24" s="48" t="str">
        <f t="shared" si="1"/>
        <v>pet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46095</v>
      </c>
      <c r="B25" s="48" t="str">
        <f t="shared" si="1"/>
        <v>sub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46096</v>
      </c>
      <c r="B26" s="48" t="str">
        <f t="shared" si="1"/>
        <v>ned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46097</v>
      </c>
      <c r="B27" s="48" t="str">
        <f t="shared" si="1"/>
        <v>pon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46098</v>
      </c>
      <c r="B28" s="48" t="str">
        <f t="shared" si="1"/>
        <v>uto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46099</v>
      </c>
      <c r="B29" s="48" t="str">
        <f t="shared" si="1"/>
        <v>sri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46100</v>
      </c>
      <c r="B30" s="48" t="str">
        <f t="shared" si="1"/>
        <v>čet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46101</v>
      </c>
      <c r="B31" s="48" t="str">
        <f t="shared" si="1"/>
        <v>pet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46102</v>
      </c>
      <c r="B32" s="48" t="str">
        <f t="shared" si="1"/>
        <v>sub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46103</v>
      </c>
      <c r="B33" s="48" t="str">
        <f t="shared" si="1"/>
        <v>ned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46104</v>
      </c>
      <c r="B34" s="48" t="str">
        <f t="shared" si="1"/>
        <v>pon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46105</v>
      </c>
      <c r="B35" s="48" t="str">
        <f t="shared" si="1"/>
        <v>uto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46106</v>
      </c>
      <c r="B36" s="48" t="str">
        <f t="shared" si="1"/>
        <v>sri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46107</v>
      </c>
      <c r="B37" s="48" t="str">
        <f t="shared" si="1"/>
        <v>čet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46108</v>
      </c>
      <c r="B38" s="48" t="str">
        <f t="shared" si="1"/>
        <v>pet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46109</v>
      </c>
      <c r="B39" s="48" t="str">
        <f t="shared" si="1"/>
        <v>sub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46110</v>
      </c>
      <c r="B40" s="48" t="str">
        <f t="shared" si="1"/>
        <v>ned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46111</v>
      </c>
      <c r="B41" s="48" t="str">
        <f t="shared" si="1"/>
        <v>pon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>
        <f t="shared" si="3"/>
        <v>46112</v>
      </c>
      <c r="B42" s="48" t="str">
        <f t="shared" si="1"/>
        <v>uto</v>
      </c>
      <c r="C42" s="49"/>
      <c r="D42" s="49"/>
      <c r="E42" s="50">
        <f t="shared" si="2"/>
        <v>0</v>
      </c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>
        <f t="shared" si="0"/>
        <v>0</v>
      </c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29" priority="3">
      <formula>ISNUMBER(VLOOKUP(+$A12,Praznici2024,1,0))</formula>
    </cfRule>
    <cfRule type="expression" dxfId="28" priority="4">
      <formula>+$B12="ned"</formula>
    </cfRule>
  </conditionalFormatting>
  <conditionalFormatting sqref="AE12:AE42">
    <cfRule type="expression" dxfId="27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920B-11BA-466E-9C46-80FEE64B098E}">
  <dimension ref="A1:AV47"/>
  <sheetViews>
    <sheetView view="pageLayout" topLeftCell="A3" zoomScale="130" zoomScaleNormal="175" zoomScalePageLayoutView="130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4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46113</v>
      </c>
      <c r="E7" s="93"/>
      <c r="F7" s="93"/>
      <c r="G7" s="94" t="s">
        <v>46</v>
      </c>
      <c r="H7" s="94"/>
      <c r="I7" s="94"/>
      <c r="J7" s="93">
        <f>+EOMONTH(D7,0)</f>
        <v>46142</v>
      </c>
      <c r="K7" s="93"/>
      <c r="L7" s="93"/>
      <c r="M7" s="94" t="s">
        <v>47</v>
      </c>
      <c r="N7" s="94"/>
      <c r="O7" s="94"/>
      <c r="P7" s="108">
        <f>+NETWORKDAYS(D7,J7,0)</f>
        <v>22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176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46113</v>
      </c>
      <c r="B12" s="48" t="str">
        <f>+TEXT(A12,"DDD")</f>
        <v>sri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1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46114</v>
      </c>
      <c r="B13" s="48" t="str">
        <f t="shared" ref="B13:B41" si="1">+TEXT(A13,"DDD")</f>
        <v>čet</v>
      </c>
      <c r="C13" s="49"/>
      <c r="D13" s="49"/>
      <c r="E13" s="50">
        <f t="shared" ref="E13:E41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1" si="3">+A13+1</f>
        <v>46115</v>
      </c>
      <c r="B14" s="48" t="str">
        <f t="shared" si="1"/>
        <v>pet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46116</v>
      </c>
      <c r="B15" s="48" t="str">
        <f t="shared" si="1"/>
        <v>sub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46117</v>
      </c>
      <c r="B16" s="48" t="str">
        <f t="shared" si="1"/>
        <v>ned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46118</v>
      </c>
      <c r="B17" s="48" t="str">
        <f t="shared" si="1"/>
        <v>pon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46119</v>
      </c>
      <c r="B18" s="48" t="str">
        <f t="shared" si="1"/>
        <v>uto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46120</v>
      </c>
      <c r="B19" s="48" t="str">
        <f t="shared" si="1"/>
        <v>sri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46121</v>
      </c>
      <c r="B20" s="48" t="str">
        <f t="shared" si="1"/>
        <v>čet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46122</v>
      </c>
      <c r="B21" s="48" t="str">
        <f t="shared" si="1"/>
        <v>pet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46123</v>
      </c>
      <c r="B22" s="48" t="str">
        <f t="shared" si="1"/>
        <v>sub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46124</v>
      </c>
      <c r="B23" s="48" t="str">
        <f t="shared" si="1"/>
        <v>ned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46125</v>
      </c>
      <c r="B24" s="48" t="str">
        <f t="shared" si="1"/>
        <v>pon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46126</v>
      </c>
      <c r="B25" s="48" t="str">
        <f t="shared" si="1"/>
        <v>uto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46127</v>
      </c>
      <c r="B26" s="48" t="str">
        <f t="shared" si="1"/>
        <v>sri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46128</v>
      </c>
      <c r="B27" s="48" t="str">
        <f t="shared" si="1"/>
        <v>čet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46129</v>
      </c>
      <c r="B28" s="48" t="str">
        <f t="shared" si="1"/>
        <v>pet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46130</v>
      </c>
      <c r="B29" s="48" t="str">
        <f t="shared" si="1"/>
        <v>sub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46131</v>
      </c>
      <c r="B30" s="48" t="str">
        <f t="shared" si="1"/>
        <v>ned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46132</v>
      </c>
      <c r="B31" s="48" t="str">
        <f t="shared" si="1"/>
        <v>pon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46133</v>
      </c>
      <c r="B32" s="48" t="str">
        <f t="shared" si="1"/>
        <v>uto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46134</v>
      </c>
      <c r="B33" s="48" t="str">
        <f t="shared" si="1"/>
        <v>sri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46135</v>
      </c>
      <c r="B34" s="48" t="str">
        <f t="shared" si="1"/>
        <v>čet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46136</v>
      </c>
      <c r="B35" s="48" t="str">
        <f t="shared" si="1"/>
        <v>pet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46137</v>
      </c>
      <c r="B36" s="48" t="str">
        <f t="shared" si="1"/>
        <v>sub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46138</v>
      </c>
      <c r="B37" s="48" t="str">
        <f t="shared" si="1"/>
        <v>ned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46139</v>
      </c>
      <c r="B38" s="48" t="str">
        <f t="shared" si="1"/>
        <v>pon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46140</v>
      </c>
      <c r="B39" s="48" t="str">
        <f t="shared" si="1"/>
        <v>uto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46141</v>
      </c>
      <c r="B40" s="48" t="str">
        <f t="shared" si="1"/>
        <v>sri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46142</v>
      </c>
      <c r="B41" s="48" t="str">
        <f t="shared" si="1"/>
        <v>čet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/>
      <c r="B42" s="48"/>
      <c r="C42" s="49"/>
      <c r="D42" s="49"/>
      <c r="E42" s="50"/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/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26" priority="3">
      <formula>ISNUMBER(VLOOKUP(+$A12,Praznici2024,1,0))</formula>
    </cfRule>
    <cfRule type="expression" dxfId="25" priority="4">
      <formula>+$B12="ned"</formula>
    </cfRule>
  </conditionalFormatting>
  <conditionalFormatting sqref="AE12:AE42">
    <cfRule type="expression" dxfId="24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9F6D-5236-4025-A39C-BB55BF8FA54B}">
  <dimension ref="A1:AV47"/>
  <sheetViews>
    <sheetView view="pageLayout" zoomScale="130" zoomScaleNormal="175" zoomScalePageLayoutView="130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5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46143</v>
      </c>
      <c r="E7" s="93"/>
      <c r="F7" s="93"/>
      <c r="G7" s="94" t="s">
        <v>46</v>
      </c>
      <c r="H7" s="94"/>
      <c r="I7" s="94"/>
      <c r="J7" s="93">
        <f>+EOMONTH(D7,0)</f>
        <v>46173</v>
      </c>
      <c r="K7" s="93"/>
      <c r="L7" s="93"/>
      <c r="M7" s="94" t="s">
        <v>47</v>
      </c>
      <c r="N7" s="94"/>
      <c r="O7" s="94"/>
      <c r="P7" s="108">
        <f>+NETWORKDAYS(D7,J7,0)</f>
        <v>21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168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46143</v>
      </c>
      <c r="B12" s="48" t="str">
        <f>+TEXT(A12,"DDD")</f>
        <v>pet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2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46144</v>
      </c>
      <c r="B13" s="48" t="str">
        <f t="shared" ref="B13:B42" si="1">+TEXT(A13,"DDD")</f>
        <v>sub</v>
      </c>
      <c r="C13" s="49"/>
      <c r="D13" s="49"/>
      <c r="E13" s="50">
        <f t="shared" ref="E13:E42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2" si="3">+A13+1</f>
        <v>46145</v>
      </c>
      <c r="B14" s="48" t="str">
        <f t="shared" si="1"/>
        <v>ned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46146</v>
      </c>
      <c r="B15" s="48" t="str">
        <f t="shared" si="1"/>
        <v>pon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46147</v>
      </c>
      <c r="B16" s="48" t="str">
        <f t="shared" si="1"/>
        <v>uto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46148</v>
      </c>
      <c r="B17" s="48" t="str">
        <f t="shared" si="1"/>
        <v>sri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46149</v>
      </c>
      <c r="B18" s="48" t="str">
        <f t="shared" si="1"/>
        <v>čet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46150</v>
      </c>
      <c r="B19" s="48" t="str">
        <f t="shared" si="1"/>
        <v>pet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46151</v>
      </c>
      <c r="B20" s="48" t="str">
        <f t="shared" si="1"/>
        <v>sub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46152</v>
      </c>
      <c r="B21" s="48" t="str">
        <f t="shared" si="1"/>
        <v>ned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46153</v>
      </c>
      <c r="B22" s="48" t="str">
        <f t="shared" si="1"/>
        <v>pon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46154</v>
      </c>
      <c r="B23" s="48" t="str">
        <f t="shared" si="1"/>
        <v>uto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46155</v>
      </c>
      <c r="B24" s="48" t="str">
        <f t="shared" si="1"/>
        <v>sri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46156</v>
      </c>
      <c r="B25" s="48" t="str">
        <f t="shared" si="1"/>
        <v>čet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46157</v>
      </c>
      <c r="B26" s="48" t="str">
        <f t="shared" si="1"/>
        <v>pet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46158</v>
      </c>
      <c r="B27" s="48" t="str">
        <f t="shared" si="1"/>
        <v>sub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46159</v>
      </c>
      <c r="B28" s="48" t="str">
        <f t="shared" si="1"/>
        <v>ned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46160</v>
      </c>
      <c r="B29" s="48" t="str">
        <f t="shared" si="1"/>
        <v>pon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46161</v>
      </c>
      <c r="B30" s="48" t="str">
        <f t="shared" si="1"/>
        <v>uto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46162</v>
      </c>
      <c r="B31" s="48" t="str">
        <f t="shared" si="1"/>
        <v>sri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46163</v>
      </c>
      <c r="B32" s="48" t="str">
        <f t="shared" si="1"/>
        <v>čet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46164</v>
      </c>
      <c r="B33" s="48" t="str">
        <f t="shared" si="1"/>
        <v>pet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46165</v>
      </c>
      <c r="B34" s="48" t="str">
        <f t="shared" si="1"/>
        <v>sub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46166</v>
      </c>
      <c r="B35" s="48" t="str">
        <f t="shared" si="1"/>
        <v>ned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46167</v>
      </c>
      <c r="B36" s="48" t="str">
        <f t="shared" si="1"/>
        <v>pon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46168</v>
      </c>
      <c r="B37" s="48" t="str">
        <f t="shared" si="1"/>
        <v>uto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46169</v>
      </c>
      <c r="B38" s="48" t="str">
        <f t="shared" si="1"/>
        <v>sri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46170</v>
      </c>
      <c r="B39" s="48" t="str">
        <f t="shared" si="1"/>
        <v>čet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46171</v>
      </c>
      <c r="B40" s="48" t="str">
        <f t="shared" si="1"/>
        <v>pet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46172</v>
      </c>
      <c r="B41" s="48" t="str">
        <f t="shared" si="1"/>
        <v>sub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>
        <f t="shared" si="3"/>
        <v>46173</v>
      </c>
      <c r="B42" s="48" t="str">
        <f t="shared" si="1"/>
        <v>ned</v>
      </c>
      <c r="C42" s="49"/>
      <c r="D42" s="49"/>
      <c r="E42" s="50">
        <f t="shared" si="2"/>
        <v>0</v>
      </c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>
        <f t="shared" si="0"/>
        <v>0</v>
      </c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23" priority="3">
      <formula>ISNUMBER(VLOOKUP(+$A12,Praznici2024,1,0))</formula>
    </cfRule>
    <cfRule type="expression" dxfId="22" priority="4">
      <formula>+$B12="ned"</formula>
    </cfRule>
  </conditionalFormatting>
  <conditionalFormatting sqref="AE12:AE42">
    <cfRule type="expression" dxfId="21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FCC5-3866-472E-9A45-59D329C3F375}">
  <dimension ref="A1:AV47"/>
  <sheetViews>
    <sheetView view="pageLayout" zoomScale="130" zoomScaleNormal="175" zoomScalePageLayoutView="130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6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46174</v>
      </c>
      <c r="E7" s="93"/>
      <c r="F7" s="93"/>
      <c r="G7" s="94" t="s">
        <v>46</v>
      </c>
      <c r="H7" s="94"/>
      <c r="I7" s="94"/>
      <c r="J7" s="93">
        <f>+EOMONTH(D7,0)</f>
        <v>46203</v>
      </c>
      <c r="K7" s="93"/>
      <c r="L7" s="93"/>
      <c r="M7" s="94" t="s">
        <v>47</v>
      </c>
      <c r="N7" s="94"/>
      <c r="O7" s="94"/>
      <c r="P7" s="108">
        <f>+NETWORKDAYS(D7,J7,0)</f>
        <v>22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176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46174</v>
      </c>
      <c r="B12" s="48" t="str">
        <f>+TEXT(A12,"DDD")</f>
        <v>pon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1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46175</v>
      </c>
      <c r="B13" s="48" t="str">
        <f t="shared" ref="B13:B41" si="1">+TEXT(A13,"DDD")</f>
        <v>uto</v>
      </c>
      <c r="C13" s="49"/>
      <c r="D13" s="49"/>
      <c r="E13" s="50">
        <f t="shared" ref="E13:E41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1" si="3">+A13+1</f>
        <v>46176</v>
      </c>
      <c r="B14" s="48" t="str">
        <f t="shared" si="1"/>
        <v>sri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46177</v>
      </c>
      <c r="B15" s="48" t="str">
        <f t="shared" si="1"/>
        <v>čet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46178</v>
      </c>
      <c r="B16" s="48" t="str">
        <f t="shared" si="1"/>
        <v>pet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46179</v>
      </c>
      <c r="B17" s="48" t="str">
        <f t="shared" si="1"/>
        <v>sub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46180</v>
      </c>
      <c r="B18" s="48" t="str">
        <f t="shared" si="1"/>
        <v>ned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46181</v>
      </c>
      <c r="B19" s="48" t="str">
        <f t="shared" si="1"/>
        <v>pon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46182</v>
      </c>
      <c r="B20" s="48" t="str">
        <f t="shared" si="1"/>
        <v>uto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46183</v>
      </c>
      <c r="B21" s="48" t="str">
        <f t="shared" si="1"/>
        <v>sri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46184</v>
      </c>
      <c r="B22" s="48" t="str">
        <f t="shared" si="1"/>
        <v>čet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46185</v>
      </c>
      <c r="B23" s="48" t="str">
        <f t="shared" si="1"/>
        <v>pet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46186</v>
      </c>
      <c r="B24" s="48" t="str">
        <f t="shared" si="1"/>
        <v>sub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46187</v>
      </c>
      <c r="B25" s="48" t="str">
        <f t="shared" si="1"/>
        <v>ned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46188</v>
      </c>
      <c r="B26" s="48" t="str">
        <f t="shared" si="1"/>
        <v>pon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46189</v>
      </c>
      <c r="B27" s="48" t="str">
        <f t="shared" si="1"/>
        <v>uto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46190</v>
      </c>
      <c r="B28" s="48" t="str">
        <f t="shared" si="1"/>
        <v>sri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46191</v>
      </c>
      <c r="B29" s="48" t="str">
        <f t="shared" si="1"/>
        <v>čet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46192</v>
      </c>
      <c r="B30" s="48" t="str">
        <f t="shared" si="1"/>
        <v>pet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46193</v>
      </c>
      <c r="B31" s="48" t="str">
        <f t="shared" si="1"/>
        <v>sub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46194</v>
      </c>
      <c r="B32" s="48" t="str">
        <f t="shared" si="1"/>
        <v>ned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46195</v>
      </c>
      <c r="B33" s="48" t="str">
        <f t="shared" si="1"/>
        <v>pon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46196</v>
      </c>
      <c r="B34" s="48" t="str">
        <f t="shared" si="1"/>
        <v>uto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46197</v>
      </c>
      <c r="B35" s="48" t="str">
        <f t="shared" si="1"/>
        <v>sri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46198</v>
      </c>
      <c r="B36" s="48" t="str">
        <f t="shared" si="1"/>
        <v>čet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46199</v>
      </c>
      <c r="B37" s="48" t="str">
        <f t="shared" si="1"/>
        <v>pet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46200</v>
      </c>
      <c r="B38" s="48" t="str">
        <f t="shared" si="1"/>
        <v>sub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46201</v>
      </c>
      <c r="B39" s="48" t="str">
        <f t="shared" si="1"/>
        <v>ned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46202</v>
      </c>
      <c r="B40" s="48" t="str">
        <f t="shared" si="1"/>
        <v>pon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46203</v>
      </c>
      <c r="B41" s="48" t="str">
        <f t="shared" si="1"/>
        <v>uto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/>
      <c r="B42" s="48"/>
      <c r="C42" s="49"/>
      <c r="D42" s="49"/>
      <c r="E42" s="50"/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/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20" priority="3">
      <formula>ISNUMBER(VLOOKUP(+$A12,Praznici2024,1,0))</formula>
    </cfRule>
    <cfRule type="expression" dxfId="19" priority="4">
      <formula>+$B12="ned"</formula>
    </cfRule>
  </conditionalFormatting>
  <conditionalFormatting sqref="AE12:AE42">
    <cfRule type="expression" dxfId="18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0533-47F4-4BD8-B906-E4EFCEA5917A}">
  <dimension ref="A1:AV47"/>
  <sheetViews>
    <sheetView view="pageLayout" zoomScale="145" zoomScaleNormal="175" zoomScalePageLayoutView="145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7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46204</v>
      </c>
      <c r="E7" s="93"/>
      <c r="F7" s="93"/>
      <c r="G7" s="94" t="s">
        <v>46</v>
      </c>
      <c r="H7" s="94"/>
      <c r="I7" s="94"/>
      <c r="J7" s="93">
        <f>+EOMONTH(D7,0)</f>
        <v>46234</v>
      </c>
      <c r="K7" s="93"/>
      <c r="L7" s="93"/>
      <c r="M7" s="94" t="s">
        <v>47</v>
      </c>
      <c r="N7" s="94"/>
      <c r="O7" s="94"/>
      <c r="P7" s="108">
        <f>+NETWORKDAYS(D7,J7,0)</f>
        <v>23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184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46204</v>
      </c>
      <c r="B12" s="48" t="str">
        <f>+TEXT(A12,"DDD")</f>
        <v>sri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2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46205</v>
      </c>
      <c r="B13" s="48" t="str">
        <f t="shared" ref="B13:B42" si="1">+TEXT(A13,"DDD")</f>
        <v>čet</v>
      </c>
      <c r="C13" s="49"/>
      <c r="D13" s="49"/>
      <c r="E13" s="50">
        <f t="shared" ref="E13:E42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2" si="3">+A13+1</f>
        <v>46206</v>
      </c>
      <c r="B14" s="48" t="str">
        <f t="shared" si="1"/>
        <v>pet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46207</v>
      </c>
      <c r="B15" s="48" t="str">
        <f t="shared" si="1"/>
        <v>sub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46208</v>
      </c>
      <c r="B16" s="48" t="str">
        <f t="shared" si="1"/>
        <v>ned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46209</v>
      </c>
      <c r="B17" s="48" t="str">
        <f t="shared" si="1"/>
        <v>pon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46210</v>
      </c>
      <c r="B18" s="48" t="str">
        <f t="shared" si="1"/>
        <v>uto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46211</v>
      </c>
      <c r="B19" s="48" t="str">
        <f t="shared" si="1"/>
        <v>sri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46212</v>
      </c>
      <c r="B20" s="48" t="str">
        <f t="shared" si="1"/>
        <v>čet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46213</v>
      </c>
      <c r="B21" s="48" t="str">
        <f t="shared" si="1"/>
        <v>pet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46214</v>
      </c>
      <c r="B22" s="48" t="str">
        <f t="shared" si="1"/>
        <v>sub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46215</v>
      </c>
      <c r="B23" s="48" t="str">
        <f t="shared" si="1"/>
        <v>ned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46216</v>
      </c>
      <c r="B24" s="48" t="str">
        <f t="shared" si="1"/>
        <v>pon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46217</v>
      </c>
      <c r="B25" s="48" t="str">
        <f t="shared" si="1"/>
        <v>uto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46218</v>
      </c>
      <c r="B26" s="48" t="str">
        <f t="shared" si="1"/>
        <v>sri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46219</v>
      </c>
      <c r="B27" s="48" t="str">
        <f t="shared" si="1"/>
        <v>čet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46220</v>
      </c>
      <c r="B28" s="48" t="str">
        <f t="shared" si="1"/>
        <v>pet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46221</v>
      </c>
      <c r="B29" s="48" t="str">
        <f t="shared" si="1"/>
        <v>sub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46222</v>
      </c>
      <c r="B30" s="48" t="str">
        <f t="shared" si="1"/>
        <v>ned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46223</v>
      </c>
      <c r="B31" s="48" t="str">
        <f t="shared" si="1"/>
        <v>pon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46224</v>
      </c>
      <c r="B32" s="48" t="str">
        <f t="shared" si="1"/>
        <v>uto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46225</v>
      </c>
      <c r="B33" s="48" t="str">
        <f t="shared" si="1"/>
        <v>sri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46226</v>
      </c>
      <c r="B34" s="48" t="str">
        <f t="shared" si="1"/>
        <v>čet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46227</v>
      </c>
      <c r="B35" s="48" t="str">
        <f t="shared" si="1"/>
        <v>pet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46228</v>
      </c>
      <c r="B36" s="48" t="str">
        <f t="shared" si="1"/>
        <v>sub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46229</v>
      </c>
      <c r="B37" s="48" t="str">
        <f t="shared" si="1"/>
        <v>ned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46230</v>
      </c>
      <c r="B38" s="48" t="str">
        <f t="shared" si="1"/>
        <v>pon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46231</v>
      </c>
      <c r="B39" s="48" t="str">
        <f t="shared" si="1"/>
        <v>uto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46232</v>
      </c>
      <c r="B40" s="48" t="str">
        <f t="shared" si="1"/>
        <v>sri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46233</v>
      </c>
      <c r="B41" s="48" t="str">
        <f t="shared" si="1"/>
        <v>čet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>
        <f t="shared" si="3"/>
        <v>46234</v>
      </c>
      <c r="B42" s="48" t="str">
        <f t="shared" si="1"/>
        <v>pet</v>
      </c>
      <c r="C42" s="49"/>
      <c r="D42" s="49"/>
      <c r="E42" s="50">
        <f t="shared" si="2"/>
        <v>0</v>
      </c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>
        <f t="shared" si="0"/>
        <v>0</v>
      </c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17" priority="3">
      <formula>ISNUMBER(VLOOKUP(+$A12,Praznici2024,1,0))</formula>
    </cfRule>
    <cfRule type="expression" dxfId="16" priority="4">
      <formula>+$B12="ned"</formula>
    </cfRule>
  </conditionalFormatting>
  <conditionalFormatting sqref="AE12:AE42">
    <cfRule type="expression" dxfId="15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7CE2-4112-4220-80A7-8D0985062324}">
  <dimension ref="A1:AV47"/>
  <sheetViews>
    <sheetView view="pageLayout" zoomScale="160" zoomScaleNormal="175" zoomScalePageLayoutView="160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8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46235</v>
      </c>
      <c r="E7" s="93"/>
      <c r="F7" s="93"/>
      <c r="G7" s="94" t="s">
        <v>46</v>
      </c>
      <c r="H7" s="94"/>
      <c r="I7" s="94"/>
      <c r="J7" s="93">
        <f>+EOMONTH(D7,0)</f>
        <v>46265</v>
      </c>
      <c r="K7" s="93"/>
      <c r="L7" s="93"/>
      <c r="M7" s="94" t="s">
        <v>47</v>
      </c>
      <c r="N7" s="94"/>
      <c r="O7" s="94"/>
      <c r="P7" s="108">
        <f>+NETWORKDAYS(D7,J7,0)</f>
        <v>21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168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46235</v>
      </c>
      <c r="B12" s="48" t="str">
        <f>+TEXT(A12,"DDD")</f>
        <v>sub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2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46236</v>
      </c>
      <c r="B13" s="48" t="str">
        <f t="shared" ref="B13:B42" si="1">+TEXT(A13,"DDD")</f>
        <v>ned</v>
      </c>
      <c r="C13" s="49"/>
      <c r="D13" s="49"/>
      <c r="E13" s="50">
        <f t="shared" ref="E13:E42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2" si="3">+A13+1</f>
        <v>46237</v>
      </c>
      <c r="B14" s="48" t="str">
        <f t="shared" si="1"/>
        <v>pon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46238</v>
      </c>
      <c r="B15" s="48" t="str">
        <f t="shared" si="1"/>
        <v>uto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46239</v>
      </c>
      <c r="B16" s="48" t="str">
        <f t="shared" si="1"/>
        <v>sri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46240</v>
      </c>
      <c r="B17" s="48" t="str">
        <f t="shared" si="1"/>
        <v>čet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46241</v>
      </c>
      <c r="B18" s="48" t="str">
        <f t="shared" si="1"/>
        <v>pet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46242</v>
      </c>
      <c r="B19" s="48" t="str">
        <f t="shared" si="1"/>
        <v>sub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46243</v>
      </c>
      <c r="B20" s="48" t="str">
        <f t="shared" si="1"/>
        <v>ned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46244</v>
      </c>
      <c r="B21" s="48" t="str">
        <f t="shared" si="1"/>
        <v>pon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46245</v>
      </c>
      <c r="B22" s="48" t="str">
        <f t="shared" si="1"/>
        <v>uto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46246</v>
      </c>
      <c r="B23" s="48" t="str">
        <f t="shared" si="1"/>
        <v>sri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46247</v>
      </c>
      <c r="B24" s="48" t="str">
        <f t="shared" si="1"/>
        <v>čet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46248</v>
      </c>
      <c r="B25" s="48" t="str">
        <f t="shared" si="1"/>
        <v>pet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46249</v>
      </c>
      <c r="B26" s="48" t="str">
        <f t="shared" si="1"/>
        <v>sub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46250</v>
      </c>
      <c r="B27" s="48" t="str">
        <f t="shared" si="1"/>
        <v>ned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46251</v>
      </c>
      <c r="B28" s="48" t="str">
        <f t="shared" si="1"/>
        <v>pon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46252</v>
      </c>
      <c r="B29" s="48" t="str">
        <f t="shared" si="1"/>
        <v>uto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46253</v>
      </c>
      <c r="B30" s="48" t="str">
        <f t="shared" si="1"/>
        <v>sri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46254</v>
      </c>
      <c r="B31" s="48" t="str">
        <f t="shared" si="1"/>
        <v>čet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46255</v>
      </c>
      <c r="B32" s="48" t="str">
        <f t="shared" si="1"/>
        <v>pet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46256</v>
      </c>
      <c r="B33" s="48" t="str">
        <f t="shared" si="1"/>
        <v>sub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46257</v>
      </c>
      <c r="B34" s="48" t="str">
        <f t="shared" si="1"/>
        <v>ned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46258</v>
      </c>
      <c r="B35" s="48" t="str">
        <f t="shared" si="1"/>
        <v>pon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46259</v>
      </c>
      <c r="B36" s="48" t="str">
        <f t="shared" si="1"/>
        <v>uto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46260</v>
      </c>
      <c r="B37" s="48" t="str">
        <f t="shared" si="1"/>
        <v>sri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46261</v>
      </c>
      <c r="B38" s="48" t="str">
        <f t="shared" si="1"/>
        <v>čet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46262</v>
      </c>
      <c r="B39" s="48" t="str">
        <f t="shared" si="1"/>
        <v>pet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46263</v>
      </c>
      <c r="B40" s="48" t="str">
        <f t="shared" si="1"/>
        <v>sub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46264</v>
      </c>
      <c r="B41" s="48" t="str">
        <f t="shared" si="1"/>
        <v>ned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>
        <f t="shared" si="3"/>
        <v>46265</v>
      </c>
      <c r="B42" s="48" t="str">
        <f t="shared" si="1"/>
        <v>pon</v>
      </c>
      <c r="C42" s="49"/>
      <c r="D42" s="49"/>
      <c r="E42" s="50">
        <f t="shared" si="2"/>
        <v>0</v>
      </c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>
        <f t="shared" si="0"/>
        <v>0</v>
      </c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14" priority="3">
      <formula>ISNUMBER(VLOOKUP(+$A12,Praznici2024,1,0))</formula>
    </cfRule>
    <cfRule type="expression" dxfId="13" priority="4">
      <formula>+$B12="ned"</formula>
    </cfRule>
  </conditionalFormatting>
  <conditionalFormatting sqref="AE12:AE42">
    <cfRule type="expression" dxfId="12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E236-F7B2-4AEF-9BC3-561BDA16528E}">
  <dimension ref="A1:AV47"/>
  <sheetViews>
    <sheetView view="pageLayout" zoomScale="160" zoomScaleNormal="175" zoomScalePageLayoutView="160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9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46266</v>
      </c>
      <c r="E7" s="93"/>
      <c r="F7" s="93"/>
      <c r="G7" s="94" t="s">
        <v>46</v>
      </c>
      <c r="H7" s="94"/>
      <c r="I7" s="94"/>
      <c r="J7" s="93">
        <f>+EOMONTH(D7,0)</f>
        <v>46295</v>
      </c>
      <c r="K7" s="93"/>
      <c r="L7" s="93"/>
      <c r="M7" s="94" t="s">
        <v>47</v>
      </c>
      <c r="N7" s="94"/>
      <c r="O7" s="94"/>
      <c r="P7" s="108">
        <f>+NETWORKDAYS(D7,J7,0)</f>
        <v>22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176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46266</v>
      </c>
      <c r="B12" s="48" t="str">
        <f>+TEXT(A12,"DDD")</f>
        <v>uto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1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46267</v>
      </c>
      <c r="B13" s="48" t="str">
        <f t="shared" ref="B13:B41" si="1">+TEXT(A13,"DDD")</f>
        <v>sri</v>
      </c>
      <c r="C13" s="49"/>
      <c r="D13" s="49"/>
      <c r="E13" s="50">
        <f t="shared" ref="E13:E41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1" si="3">+A13+1</f>
        <v>46268</v>
      </c>
      <c r="B14" s="48" t="str">
        <f t="shared" si="1"/>
        <v>čet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46269</v>
      </c>
      <c r="B15" s="48" t="str">
        <f t="shared" si="1"/>
        <v>pet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46270</v>
      </c>
      <c r="B16" s="48" t="str">
        <f t="shared" si="1"/>
        <v>sub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46271</v>
      </c>
      <c r="B17" s="48" t="str">
        <f t="shared" si="1"/>
        <v>ned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46272</v>
      </c>
      <c r="B18" s="48" t="str">
        <f t="shared" si="1"/>
        <v>pon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46273</v>
      </c>
      <c r="B19" s="48" t="str">
        <f t="shared" si="1"/>
        <v>uto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46274</v>
      </c>
      <c r="B20" s="48" t="str">
        <f t="shared" si="1"/>
        <v>sri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46275</v>
      </c>
      <c r="B21" s="48" t="str">
        <f t="shared" si="1"/>
        <v>čet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46276</v>
      </c>
      <c r="B22" s="48" t="str">
        <f t="shared" si="1"/>
        <v>pet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46277</v>
      </c>
      <c r="B23" s="48" t="str">
        <f t="shared" si="1"/>
        <v>sub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46278</v>
      </c>
      <c r="B24" s="48" t="str">
        <f t="shared" si="1"/>
        <v>ned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46279</v>
      </c>
      <c r="B25" s="48" t="str">
        <f t="shared" si="1"/>
        <v>pon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46280</v>
      </c>
      <c r="B26" s="48" t="str">
        <f t="shared" si="1"/>
        <v>uto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46281</v>
      </c>
      <c r="B27" s="48" t="str">
        <f t="shared" si="1"/>
        <v>sri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46282</v>
      </c>
      <c r="B28" s="48" t="str">
        <f t="shared" si="1"/>
        <v>čet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46283</v>
      </c>
      <c r="B29" s="48" t="str">
        <f t="shared" si="1"/>
        <v>pet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46284</v>
      </c>
      <c r="B30" s="48" t="str">
        <f t="shared" si="1"/>
        <v>sub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46285</v>
      </c>
      <c r="B31" s="48" t="str">
        <f t="shared" si="1"/>
        <v>ned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46286</v>
      </c>
      <c r="B32" s="48" t="str">
        <f t="shared" si="1"/>
        <v>pon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46287</v>
      </c>
      <c r="B33" s="48" t="str">
        <f t="shared" si="1"/>
        <v>uto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46288</v>
      </c>
      <c r="B34" s="48" t="str">
        <f t="shared" si="1"/>
        <v>sri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46289</v>
      </c>
      <c r="B35" s="48" t="str">
        <f t="shared" si="1"/>
        <v>čet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46290</v>
      </c>
      <c r="B36" s="48" t="str">
        <f t="shared" si="1"/>
        <v>pet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46291</v>
      </c>
      <c r="B37" s="48" t="str">
        <f t="shared" si="1"/>
        <v>sub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46292</v>
      </c>
      <c r="B38" s="48" t="str">
        <f t="shared" si="1"/>
        <v>ned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46293</v>
      </c>
      <c r="B39" s="48" t="str">
        <f t="shared" si="1"/>
        <v>pon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46294</v>
      </c>
      <c r="B40" s="48" t="str">
        <f t="shared" si="1"/>
        <v>uto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46295</v>
      </c>
      <c r="B41" s="48" t="str">
        <f t="shared" si="1"/>
        <v>sri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/>
      <c r="B42" s="48"/>
      <c r="C42" s="49"/>
      <c r="D42" s="49"/>
      <c r="E42" s="50"/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/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11" priority="3">
      <formula>ISNUMBER(VLOOKUP(+$A12,Praznici2024,1,0))</formula>
    </cfRule>
    <cfRule type="expression" dxfId="10" priority="4">
      <formula>+$B12="ned"</formula>
    </cfRule>
  </conditionalFormatting>
  <conditionalFormatting sqref="AE12:AE42">
    <cfRule type="expression" dxfId="9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6289-89D6-4DD8-9329-62DBDFE4B90B}">
  <dimension ref="A1:AV47"/>
  <sheetViews>
    <sheetView view="pageLayout" zoomScale="160" zoomScaleNormal="175" zoomScalePageLayoutView="160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10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46296</v>
      </c>
      <c r="E7" s="93"/>
      <c r="F7" s="93"/>
      <c r="G7" s="94" t="s">
        <v>46</v>
      </c>
      <c r="H7" s="94"/>
      <c r="I7" s="94"/>
      <c r="J7" s="93">
        <f>+EOMONTH(D7,0)</f>
        <v>46326</v>
      </c>
      <c r="K7" s="93"/>
      <c r="L7" s="93"/>
      <c r="M7" s="94" t="s">
        <v>47</v>
      </c>
      <c r="N7" s="94"/>
      <c r="O7" s="94"/>
      <c r="P7" s="108">
        <f>+NETWORKDAYS(D7,J7,0)</f>
        <v>22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176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46296</v>
      </c>
      <c r="B12" s="48" t="str">
        <f>+TEXT(A12,"DDD")</f>
        <v>čet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2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46297</v>
      </c>
      <c r="B13" s="48" t="str">
        <f t="shared" ref="B13:B42" si="1">+TEXT(A13,"DDD")</f>
        <v>pet</v>
      </c>
      <c r="C13" s="49"/>
      <c r="D13" s="49"/>
      <c r="E13" s="50">
        <f t="shared" ref="E13:E42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2" si="3">+A13+1</f>
        <v>46298</v>
      </c>
      <c r="B14" s="48" t="str">
        <f t="shared" si="1"/>
        <v>sub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46299</v>
      </c>
      <c r="B15" s="48" t="str">
        <f t="shared" si="1"/>
        <v>ned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46300</v>
      </c>
      <c r="B16" s="48" t="str">
        <f t="shared" si="1"/>
        <v>pon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46301</v>
      </c>
      <c r="B17" s="48" t="str">
        <f t="shared" si="1"/>
        <v>uto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46302</v>
      </c>
      <c r="B18" s="48" t="str">
        <f t="shared" si="1"/>
        <v>sri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46303</v>
      </c>
      <c r="B19" s="48" t="str">
        <f t="shared" si="1"/>
        <v>čet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46304</v>
      </c>
      <c r="B20" s="48" t="str">
        <f t="shared" si="1"/>
        <v>pet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46305</v>
      </c>
      <c r="B21" s="48" t="str">
        <f t="shared" si="1"/>
        <v>sub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46306</v>
      </c>
      <c r="B22" s="48" t="str">
        <f t="shared" si="1"/>
        <v>ned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46307</v>
      </c>
      <c r="B23" s="48" t="str">
        <f t="shared" si="1"/>
        <v>pon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46308</v>
      </c>
      <c r="B24" s="48" t="str">
        <f t="shared" si="1"/>
        <v>uto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46309</v>
      </c>
      <c r="B25" s="48" t="str">
        <f t="shared" si="1"/>
        <v>sri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46310</v>
      </c>
      <c r="B26" s="48" t="str">
        <f t="shared" si="1"/>
        <v>čet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46311</v>
      </c>
      <c r="B27" s="48" t="str">
        <f t="shared" si="1"/>
        <v>pet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46312</v>
      </c>
      <c r="B28" s="48" t="str">
        <f t="shared" si="1"/>
        <v>sub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46313</v>
      </c>
      <c r="B29" s="48" t="str">
        <f t="shared" si="1"/>
        <v>ned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46314</v>
      </c>
      <c r="B30" s="48" t="str">
        <f t="shared" si="1"/>
        <v>pon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46315</v>
      </c>
      <c r="B31" s="48" t="str">
        <f t="shared" si="1"/>
        <v>uto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46316</v>
      </c>
      <c r="B32" s="48" t="str">
        <f t="shared" si="1"/>
        <v>sri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46317</v>
      </c>
      <c r="B33" s="48" t="str">
        <f t="shared" si="1"/>
        <v>čet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46318</v>
      </c>
      <c r="B34" s="48" t="str">
        <f t="shared" si="1"/>
        <v>pet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46319</v>
      </c>
      <c r="B35" s="48" t="str">
        <f t="shared" si="1"/>
        <v>sub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46320</v>
      </c>
      <c r="B36" s="48" t="str">
        <f t="shared" si="1"/>
        <v>ned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46321</v>
      </c>
      <c r="B37" s="48" t="str">
        <f t="shared" si="1"/>
        <v>pon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46322</v>
      </c>
      <c r="B38" s="48" t="str">
        <f t="shared" si="1"/>
        <v>uto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46323</v>
      </c>
      <c r="B39" s="48" t="str">
        <f t="shared" si="1"/>
        <v>sri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46324</v>
      </c>
      <c r="B40" s="48" t="str">
        <f t="shared" si="1"/>
        <v>čet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46325</v>
      </c>
      <c r="B41" s="48" t="str">
        <f t="shared" si="1"/>
        <v>pet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>
        <f t="shared" si="3"/>
        <v>46326</v>
      </c>
      <c r="B42" s="48" t="str">
        <f t="shared" si="1"/>
        <v>sub</v>
      </c>
      <c r="C42" s="49"/>
      <c r="D42" s="49"/>
      <c r="E42" s="50">
        <f t="shared" si="2"/>
        <v>0</v>
      </c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>
        <f t="shared" si="0"/>
        <v>0</v>
      </c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8" priority="3">
      <formula>ISNUMBER(VLOOKUP(+$A12,Praznici2024,1,0))</formula>
    </cfRule>
    <cfRule type="expression" dxfId="7" priority="4">
      <formula>+$B12="ned"</formula>
    </cfRule>
  </conditionalFormatting>
  <conditionalFormatting sqref="AE12:AE42">
    <cfRule type="expression" dxfId="6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6D96-A00F-42AD-82D2-11029831FCB1}">
  <dimension ref="A1:AV47"/>
  <sheetViews>
    <sheetView view="pageLayout" zoomScale="160" zoomScaleNormal="175" zoomScalePageLayoutView="160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11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46327</v>
      </c>
      <c r="E7" s="93"/>
      <c r="F7" s="93"/>
      <c r="G7" s="94" t="s">
        <v>46</v>
      </c>
      <c r="H7" s="94"/>
      <c r="I7" s="94"/>
      <c r="J7" s="93">
        <f>+EOMONTH(D7,0)</f>
        <v>46356</v>
      </c>
      <c r="K7" s="93"/>
      <c r="L7" s="93"/>
      <c r="M7" s="94" t="s">
        <v>47</v>
      </c>
      <c r="N7" s="94"/>
      <c r="O7" s="94"/>
      <c r="P7" s="108">
        <f>+NETWORKDAYS(D7,J7,0)</f>
        <v>21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168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46327</v>
      </c>
      <c r="B12" s="48" t="str">
        <f>+TEXT(A12,"DDD")</f>
        <v>ned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1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46328</v>
      </c>
      <c r="B13" s="48" t="str">
        <f t="shared" ref="B13:B41" si="1">+TEXT(A13,"DDD")</f>
        <v>pon</v>
      </c>
      <c r="C13" s="49"/>
      <c r="D13" s="49"/>
      <c r="E13" s="50">
        <f t="shared" ref="E13:E41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1" si="3">+A13+1</f>
        <v>46329</v>
      </c>
      <c r="B14" s="48" t="str">
        <f t="shared" si="1"/>
        <v>uto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46330</v>
      </c>
      <c r="B15" s="48" t="str">
        <f t="shared" si="1"/>
        <v>sri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46331</v>
      </c>
      <c r="B16" s="48" t="str">
        <f t="shared" si="1"/>
        <v>čet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46332</v>
      </c>
      <c r="B17" s="48" t="str">
        <f t="shared" si="1"/>
        <v>pet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46333</v>
      </c>
      <c r="B18" s="48" t="str">
        <f t="shared" si="1"/>
        <v>sub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46334</v>
      </c>
      <c r="B19" s="48" t="str">
        <f t="shared" si="1"/>
        <v>ned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46335</v>
      </c>
      <c r="B20" s="48" t="str">
        <f t="shared" si="1"/>
        <v>pon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46336</v>
      </c>
      <c r="B21" s="48" t="str">
        <f t="shared" si="1"/>
        <v>uto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46337</v>
      </c>
      <c r="B22" s="48" t="str">
        <f t="shared" si="1"/>
        <v>sri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46338</v>
      </c>
      <c r="B23" s="48" t="str">
        <f t="shared" si="1"/>
        <v>čet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46339</v>
      </c>
      <c r="B24" s="48" t="str">
        <f t="shared" si="1"/>
        <v>pet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46340</v>
      </c>
      <c r="B25" s="48" t="str">
        <f t="shared" si="1"/>
        <v>sub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46341</v>
      </c>
      <c r="B26" s="48" t="str">
        <f t="shared" si="1"/>
        <v>ned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46342</v>
      </c>
      <c r="B27" s="48" t="str">
        <f t="shared" si="1"/>
        <v>pon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46343</v>
      </c>
      <c r="B28" s="48" t="str">
        <f t="shared" si="1"/>
        <v>uto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46344</v>
      </c>
      <c r="B29" s="48" t="str">
        <f t="shared" si="1"/>
        <v>sri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46345</v>
      </c>
      <c r="B30" s="48" t="str">
        <f t="shared" si="1"/>
        <v>čet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46346</v>
      </c>
      <c r="B31" s="48" t="str">
        <f t="shared" si="1"/>
        <v>pet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46347</v>
      </c>
      <c r="B32" s="48" t="str">
        <f t="shared" si="1"/>
        <v>sub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46348</v>
      </c>
      <c r="B33" s="48" t="str">
        <f t="shared" si="1"/>
        <v>ned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46349</v>
      </c>
      <c r="B34" s="48" t="str">
        <f t="shared" si="1"/>
        <v>pon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46350</v>
      </c>
      <c r="B35" s="48" t="str">
        <f t="shared" si="1"/>
        <v>uto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46351</v>
      </c>
      <c r="B36" s="48" t="str">
        <f t="shared" si="1"/>
        <v>sri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46352</v>
      </c>
      <c r="B37" s="48" t="str">
        <f t="shared" si="1"/>
        <v>čet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46353</v>
      </c>
      <c r="B38" s="48" t="str">
        <f t="shared" si="1"/>
        <v>pet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46354</v>
      </c>
      <c r="B39" s="48" t="str">
        <f t="shared" si="1"/>
        <v>sub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46355</v>
      </c>
      <c r="B40" s="48" t="str">
        <f t="shared" si="1"/>
        <v>ned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46356</v>
      </c>
      <c r="B41" s="48" t="str">
        <f t="shared" si="1"/>
        <v>pon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/>
      <c r="B42" s="48"/>
      <c r="C42" s="49"/>
      <c r="D42" s="49"/>
      <c r="E42" s="50"/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/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5" priority="3">
      <formula>ISNUMBER(VLOOKUP(+$A12,Praznici2024,1,0))</formula>
    </cfRule>
    <cfRule type="expression" dxfId="4" priority="4">
      <formula>+$B12="ned"</formula>
    </cfRule>
  </conditionalFormatting>
  <conditionalFormatting sqref="AE12:AE42">
    <cfRule type="expression" dxfId="3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BB48-11CA-48C5-AAFA-3657611EB506}">
  <dimension ref="A1:AV47"/>
  <sheetViews>
    <sheetView view="pageLayout" topLeftCell="A4" zoomScale="160" zoomScaleNormal="175" zoomScalePageLayoutView="160" workbookViewId="0">
      <selection activeCell="E2" sqref="E2:F2"/>
    </sheetView>
  </sheetViews>
  <sheetFormatPr defaultRowHeight="12" x14ac:dyDescent="0.2"/>
  <cols>
    <col min="1" max="1" width="4" style="46" customWidth="1"/>
    <col min="2" max="2" width="4" style="47" customWidth="1"/>
    <col min="3" max="30" width="4" style="45" customWidth="1"/>
    <col min="31" max="31" width="5.1640625" style="121" customWidth="1"/>
    <col min="32" max="34" width="5.1640625" style="85" customWidth="1"/>
    <col min="35" max="35" width="5.33203125" style="86" customWidth="1"/>
    <col min="36" max="36" width="4.6640625" style="86" customWidth="1"/>
    <col min="37" max="48" width="4.6640625" style="64" customWidth="1"/>
    <col min="49" max="95" width="4.6640625" customWidth="1"/>
  </cols>
  <sheetData>
    <row r="1" spans="1:48" s="2" customFormat="1" ht="12" customHeight="1" x14ac:dyDescent="0.2">
      <c r="A1" s="117" t="s">
        <v>53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25"/>
      <c r="AG1" s="125"/>
      <c r="AH1" s="125"/>
      <c r="AI1" s="80"/>
      <c r="AJ1" s="80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</row>
    <row r="2" spans="1:48" s="2" customFormat="1" ht="12.75" customHeight="1" x14ac:dyDescent="0.2">
      <c r="A2" s="91" t="s">
        <v>54</v>
      </c>
      <c r="B2" s="91"/>
      <c r="C2" s="91"/>
      <c r="D2" s="91"/>
      <c r="E2" s="99" t="str">
        <f>+'01'!E2</f>
        <v>NE</v>
      </c>
      <c r="F2" s="100"/>
      <c r="G2" s="101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18"/>
      <c r="AF2" s="125"/>
      <c r="AG2" s="125"/>
      <c r="AH2" s="125"/>
      <c r="AI2" s="80"/>
      <c r="AJ2" s="80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</row>
    <row r="3" spans="1:48" s="2" customFormat="1" x14ac:dyDescent="0.2">
      <c r="A3" s="91" t="s">
        <v>25</v>
      </c>
      <c r="B3" s="91"/>
      <c r="C3" s="91"/>
      <c r="D3" s="91"/>
      <c r="E3" s="41">
        <v>6</v>
      </c>
      <c r="F3" s="41">
        <v>14</v>
      </c>
      <c r="G3" s="94" t="s">
        <v>50</v>
      </c>
      <c r="H3" s="94"/>
      <c r="I3" s="94"/>
      <c r="J3" s="94"/>
      <c r="K3" s="94"/>
      <c r="L3" s="94"/>
      <c r="M3" s="104" t="str">
        <f>+Podaci!B18</f>
        <v>MARICA MARINČIĆ</v>
      </c>
      <c r="N3" s="105"/>
      <c r="O3" s="105"/>
      <c r="P3" s="105"/>
      <c r="Q3" s="105"/>
      <c r="R3" s="105"/>
      <c r="S3" s="106" t="s">
        <v>52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19"/>
      <c r="AF3" s="125"/>
      <c r="AG3" s="125"/>
      <c r="AH3" s="125"/>
      <c r="AI3" s="80"/>
      <c r="AJ3" s="80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s="2" customFormat="1" x14ac:dyDescent="0.2">
      <c r="A4" s="91" t="s">
        <v>26</v>
      </c>
      <c r="B4" s="91"/>
      <c r="C4" s="91"/>
      <c r="D4" s="91"/>
      <c r="E4" s="41">
        <v>14</v>
      </c>
      <c r="F4" s="41">
        <v>22</v>
      </c>
      <c r="G4" s="94" t="s">
        <v>51</v>
      </c>
      <c r="H4" s="94"/>
      <c r="I4" s="94"/>
      <c r="J4" s="94"/>
      <c r="K4" s="94"/>
      <c r="L4" s="94"/>
      <c r="M4" s="104" t="str">
        <f>+Podaci!B19</f>
        <v>78945612389</v>
      </c>
      <c r="N4" s="105"/>
      <c r="O4" s="105"/>
      <c r="P4" s="105"/>
      <c r="Q4" s="105"/>
      <c r="R4" s="105"/>
      <c r="S4" s="104" t="str">
        <f>+Podaci!B4</f>
        <v>TVRTKA ABC D.O.O.</v>
      </c>
      <c r="T4" s="104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19"/>
      <c r="AF4" s="125"/>
      <c r="AG4" s="125"/>
      <c r="AH4" s="125"/>
      <c r="AI4" s="80"/>
      <c r="AJ4" s="80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</row>
    <row r="5" spans="1:48" s="2" customFormat="1" x14ac:dyDescent="0.2">
      <c r="A5" s="91" t="s">
        <v>22</v>
      </c>
      <c r="B5" s="91"/>
      <c r="C5" s="91"/>
      <c r="D5" s="91"/>
      <c r="E5" s="42">
        <v>22</v>
      </c>
      <c r="F5" s="42">
        <v>6</v>
      </c>
      <c r="G5" s="94" t="s">
        <v>113</v>
      </c>
      <c r="H5" s="94"/>
      <c r="I5" s="94"/>
      <c r="J5" s="94"/>
      <c r="K5" s="94"/>
      <c r="L5" s="94"/>
      <c r="M5" s="104" t="str">
        <f>+Podaci!B31</f>
        <v>info@metro-servis.hr</v>
      </c>
      <c r="N5" s="105"/>
      <c r="O5" s="105"/>
      <c r="P5" s="105"/>
      <c r="Q5" s="105"/>
      <c r="R5" s="105"/>
      <c r="S5" s="104" t="str">
        <f>+Podaci!B5</f>
        <v>12345678910</v>
      </c>
      <c r="T5" s="104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19"/>
      <c r="AF5" s="125"/>
      <c r="AG5" s="125"/>
      <c r="AH5" s="125"/>
      <c r="AI5" s="80"/>
      <c r="AJ5" s="80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</row>
    <row r="6" spans="1:48" s="2" customFormat="1" x14ac:dyDescent="0.2">
      <c r="A6" s="92" t="s">
        <v>108</v>
      </c>
      <c r="B6" s="92"/>
      <c r="C6" s="92"/>
      <c r="D6" s="95">
        <f>+MONTH(D7)</f>
        <v>12</v>
      </c>
      <c r="E6" s="95"/>
      <c r="F6" s="95"/>
      <c r="G6" s="92" t="s">
        <v>109</v>
      </c>
      <c r="H6" s="92"/>
      <c r="I6" s="92"/>
      <c r="J6" s="95">
        <f>+YEAR(J7)</f>
        <v>2026</v>
      </c>
      <c r="K6" s="95"/>
      <c r="L6" s="95"/>
      <c r="M6" s="96"/>
      <c r="N6" s="97"/>
      <c r="O6" s="97"/>
      <c r="P6" s="97"/>
      <c r="Q6" s="98"/>
      <c r="R6" s="94" t="s">
        <v>48</v>
      </c>
      <c r="S6" s="94"/>
      <c r="T6" s="94"/>
      <c r="U6" s="94"/>
      <c r="V6" s="114" t="s">
        <v>105</v>
      </c>
      <c r="W6" s="115"/>
      <c r="X6" s="94" t="s">
        <v>49</v>
      </c>
      <c r="Y6" s="94"/>
      <c r="Z6" s="94"/>
      <c r="AA6" s="94"/>
      <c r="AB6" s="94"/>
      <c r="AC6" s="94"/>
      <c r="AD6" s="94"/>
      <c r="AE6" s="120"/>
      <c r="AF6" s="81"/>
      <c r="AG6" s="81"/>
      <c r="AH6" s="81"/>
      <c r="AI6" s="80"/>
      <c r="AJ6" s="80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</row>
    <row r="7" spans="1:48" s="2" customFormat="1" x14ac:dyDescent="0.2">
      <c r="A7" s="92" t="s">
        <v>45</v>
      </c>
      <c r="B7" s="92"/>
      <c r="C7" s="92"/>
      <c r="D7" s="93">
        <f>+A12</f>
        <v>46357</v>
      </c>
      <c r="E7" s="93"/>
      <c r="F7" s="93"/>
      <c r="G7" s="94" t="s">
        <v>46</v>
      </c>
      <c r="H7" s="94"/>
      <c r="I7" s="94"/>
      <c r="J7" s="93">
        <f>+EOMONTH(D7,0)</f>
        <v>46387</v>
      </c>
      <c r="K7" s="93"/>
      <c r="L7" s="93"/>
      <c r="M7" s="94" t="s">
        <v>47</v>
      </c>
      <c r="N7" s="94"/>
      <c r="O7" s="94"/>
      <c r="P7" s="108">
        <f>+NETWORKDAYS(D7,J7,0)</f>
        <v>23</v>
      </c>
      <c r="Q7" s="108"/>
      <c r="R7" s="94" t="s">
        <v>48</v>
      </c>
      <c r="S7" s="94"/>
      <c r="T7" s="94"/>
      <c r="U7" s="94"/>
      <c r="V7" s="107">
        <v>8</v>
      </c>
      <c r="W7" s="107"/>
      <c r="X7" s="94" t="s">
        <v>49</v>
      </c>
      <c r="Y7" s="94"/>
      <c r="Z7" s="94"/>
      <c r="AA7" s="94"/>
      <c r="AB7" s="94"/>
      <c r="AC7" s="94">
        <f>+P7*V7</f>
        <v>184</v>
      </c>
      <c r="AD7" s="94"/>
      <c r="AE7" s="120"/>
      <c r="AF7" s="81"/>
      <c r="AG7" s="81"/>
      <c r="AH7" s="81"/>
      <c r="AI7" s="80"/>
      <c r="AJ7" s="80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</row>
    <row r="8" spans="1:48" s="2" customFormat="1" ht="2.25" customHeight="1" x14ac:dyDescent="0.2">
      <c r="A8" s="43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121"/>
      <c r="AF8" s="82"/>
      <c r="AG8" s="82"/>
      <c r="AH8" s="82"/>
      <c r="AI8" s="80"/>
      <c r="AJ8" s="8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</row>
    <row r="9" spans="1:48" s="2" customFormat="1" x14ac:dyDescent="0.2">
      <c r="A9" s="111">
        <f>+YEAR(A12)</f>
        <v>2026</v>
      </c>
      <c r="B9" s="112"/>
      <c r="C9" s="112"/>
      <c r="D9" s="112"/>
      <c r="E9" s="113"/>
      <c r="F9" s="110" t="s">
        <v>43</v>
      </c>
      <c r="G9" s="110"/>
      <c r="H9" s="110"/>
      <c r="I9" s="110"/>
      <c r="J9" s="110"/>
      <c r="K9" s="110"/>
      <c r="L9" s="110"/>
      <c r="M9" s="110"/>
      <c r="N9" s="109" t="s">
        <v>44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20"/>
      <c r="AF9" s="82"/>
      <c r="AG9" s="82"/>
      <c r="AH9" s="82"/>
      <c r="AI9" s="80"/>
      <c r="AJ9" s="8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</row>
    <row r="10" spans="1:48" s="1" customFormat="1" ht="76.5" customHeight="1" x14ac:dyDescent="0.2">
      <c r="A10" s="38" t="s">
        <v>1</v>
      </c>
      <c r="B10" s="38" t="s">
        <v>2</v>
      </c>
      <c r="C10" s="39" t="s">
        <v>3</v>
      </c>
      <c r="D10" s="39" t="s">
        <v>4</v>
      </c>
      <c r="E10" s="39" t="s">
        <v>19</v>
      </c>
      <c r="F10" s="26" t="s">
        <v>21</v>
      </c>
      <c r="G10" s="26" t="s">
        <v>20</v>
      </c>
      <c r="H10" s="26" t="s">
        <v>22</v>
      </c>
      <c r="I10" s="26" t="s">
        <v>23</v>
      </c>
      <c r="J10" s="26" t="s">
        <v>24</v>
      </c>
      <c r="K10" s="26" t="s">
        <v>28</v>
      </c>
      <c r="L10" s="26" t="s">
        <v>27</v>
      </c>
      <c r="M10" s="26" t="s">
        <v>29</v>
      </c>
      <c r="N10" s="27" t="s">
        <v>30</v>
      </c>
      <c r="O10" s="27" t="s">
        <v>31</v>
      </c>
      <c r="P10" s="36" t="s">
        <v>32</v>
      </c>
      <c r="Q10" s="37" t="s">
        <v>33</v>
      </c>
      <c r="R10" s="25" t="s">
        <v>34</v>
      </c>
      <c r="S10" s="27" t="s">
        <v>35</v>
      </c>
      <c r="T10" s="27" t="s">
        <v>103</v>
      </c>
      <c r="U10" s="27" t="s">
        <v>36</v>
      </c>
      <c r="V10" s="27" t="s">
        <v>37</v>
      </c>
      <c r="W10" s="27" t="s">
        <v>38</v>
      </c>
      <c r="X10" s="27" t="s">
        <v>39</v>
      </c>
      <c r="Y10" s="27" t="s">
        <v>40</v>
      </c>
      <c r="Z10" s="27" t="s">
        <v>41</v>
      </c>
      <c r="AA10" s="27" t="s">
        <v>101</v>
      </c>
      <c r="AB10" s="27" t="s">
        <v>106</v>
      </c>
      <c r="AC10" s="27" t="s">
        <v>42</v>
      </c>
      <c r="AD10" s="76" t="s">
        <v>107</v>
      </c>
      <c r="AE10" s="122" t="s">
        <v>115</v>
      </c>
      <c r="AF10" s="83"/>
      <c r="AG10" s="83"/>
      <c r="AH10" s="83"/>
      <c r="AI10" s="84"/>
      <c r="AJ10" s="84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</row>
    <row r="11" spans="1:48" ht="9.75" customHeight="1" x14ac:dyDescent="0.2"/>
    <row r="12" spans="1:48" s="3" customFormat="1" ht="15.75" customHeight="1" x14ac:dyDescent="0.15">
      <c r="A12" s="21">
        <v>46357</v>
      </c>
      <c r="B12" s="48" t="str">
        <f>+TEXT(A12,"DDD")</f>
        <v>uto</v>
      </c>
      <c r="C12" s="58"/>
      <c r="D12" s="49"/>
      <c r="E12" s="50">
        <f>+D12-C12</f>
        <v>0</v>
      </c>
      <c r="F12" s="61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77"/>
      <c r="AE12" s="123">
        <f t="shared" ref="AE12:AE42" si="0">SUM(F12:AD12)</f>
        <v>0</v>
      </c>
      <c r="AF12" s="88"/>
      <c r="AG12" s="88"/>
      <c r="AH12" s="88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spans="1:48" s="3" customFormat="1" ht="15.75" customHeight="1" x14ac:dyDescent="0.15">
      <c r="A13" s="21">
        <f>+A12+1</f>
        <v>46358</v>
      </c>
      <c r="B13" s="48" t="str">
        <f t="shared" ref="B13:B42" si="1">+TEXT(A13,"DDD")</f>
        <v>sri</v>
      </c>
      <c r="C13" s="49"/>
      <c r="D13" s="49"/>
      <c r="E13" s="50">
        <f t="shared" ref="E13:E42" si="2">+D13-C13</f>
        <v>0</v>
      </c>
      <c r="F13" s="61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53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77"/>
      <c r="AE13" s="123">
        <f t="shared" si="0"/>
        <v>0</v>
      </c>
      <c r="AF13" s="88"/>
      <c r="AG13" s="88"/>
      <c r="AH13" s="88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spans="1:48" s="3" customFormat="1" ht="15.75" customHeight="1" x14ac:dyDescent="0.15">
      <c r="A14" s="21">
        <f t="shared" ref="A14:A42" si="3">+A13+1</f>
        <v>46359</v>
      </c>
      <c r="B14" s="48" t="str">
        <f t="shared" si="1"/>
        <v>čet</v>
      </c>
      <c r="C14" s="49"/>
      <c r="D14" s="49"/>
      <c r="E14" s="50">
        <f t="shared" si="2"/>
        <v>0</v>
      </c>
      <c r="F14" s="61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53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77"/>
      <c r="AE14" s="123">
        <f t="shared" si="0"/>
        <v>0</v>
      </c>
      <c r="AF14" s="88"/>
      <c r="AG14" s="88"/>
      <c r="AH14" s="88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pans="1:48" s="3" customFormat="1" ht="15.75" customHeight="1" x14ac:dyDescent="0.15">
      <c r="A15" s="21">
        <f t="shared" si="3"/>
        <v>46360</v>
      </c>
      <c r="B15" s="48" t="str">
        <f t="shared" si="1"/>
        <v>pet</v>
      </c>
      <c r="C15" s="49"/>
      <c r="D15" s="49"/>
      <c r="E15" s="50">
        <f t="shared" si="2"/>
        <v>0</v>
      </c>
      <c r="F15" s="61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2"/>
      <c r="R15" s="53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77"/>
      <c r="AE15" s="123">
        <f t="shared" si="0"/>
        <v>0</v>
      </c>
      <c r="AF15" s="88"/>
      <c r="AG15" s="88"/>
      <c r="AH15" s="88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spans="1:48" s="3" customFormat="1" ht="15.75" customHeight="1" x14ac:dyDescent="0.15">
      <c r="A16" s="21">
        <f t="shared" si="3"/>
        <v>46361</v>
      </c>
      <c r="B16" s="48" t="str">
        <f t="shared" si="1"/>
        <v>sub</v>
      </c>
      <c r="C16" s="49"/>
      <c r="D16" s="49"/>
      <c r="E16" s="50">
        <f t="shared" si="2"/>
        <v>0</v>
      </c>
      <c r="F16" s="61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/>
      <c r="R16" s="53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77"/>
      <c r="AE16" s="123">
        <f t="shared" si="0"/>
        <v>0</v>
      </c>
      <c r="AF16" s="88"/>
      <c r="AG16" s="88"/>
      <c r="AH16" s="88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spans="1:48" s="3" customFormat="1" ht="15.75" customHeight="1" x14ac:dyDescent="0.15">
      <c r="A17" s="21">
        <f t="shared" si="3"/>
        <v>46362</v>
      </c>
      <c r="B17" s="48" t="str">
        <f t="shared" si="1"/>
        <v>ned</v>
      </c>
      <c r="C17" s="49"/>
      <c r="D17" s="49"/>
      <c r="E17" s="50">
        <f t="shared" si="2"/>
        <v>0</v>
      </c>
      <c r="F17" s="61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53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77"/>
      <c r="AE17" s="123">
        <f t="shared" si="0"/>
        <v>0</v>
      </c>
      <c r="AF17" s="88"/>
      <c r="AG17" s="88"/>
      <c r="AH17" s="88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spans="1:48" s="3" customFormat="1" ht="15.75" customHeight="1" x14ac:dyDescent="0.15">
      <c r="A18" s="21">
        <f t="shared" si="3"/>
        <v>46363</v>
      </c>
      <c r="B18" s="48" t="str">
        <f t="shared" si="1"/>
        <v>pon</v>
      </c>
      <c r="C18" s="49"/>
      <c r="D18" s="49"/>
      <c r="E18" s="50">
        <f t="shared" si="2"/>
        <v>0</v>
      </c>
      <c r="F18" s="61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53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77"/>
      <c r="AE18" s="123">
        <f t="shared" si="0"/>
        <v>0</v>
      </c>
      <c r="AF18" s="88"/>
      <c r="AG18" s="88"/>
      <c r="AH18" s="88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spans="1:48" s="3" customFormat="1" ht="15.75" customHeight="1" x14ac:dyDescent="0.15">
      <c r="A19" s="21">
        <f t="shared" si="3"/>
        <v>46364</v>
      </c>
      <c r="B19" s="48" t="str">
        <f t="shared" si="1"/>
        <v>uto</v>
      </c>
      <c r="C19" s="49"/>
      <c r="D19" s="49"/>
      <c r="E19" s="50">
        <f t="shared" si="2"/>
        <v>0</v>
      </c>
      <c r="F19" s="61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2"/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77"/>
      <c r="AE19" s="123">
        <f t="shared" si="0"/>
        <v>0</v>
      </c>
      <c r="AF19" s="88"/>
      <c r="AG19" s="88"/>
      <c r="AH19" s="88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spans="1:48" s="3" customFormat="1" ht="15.75" customHeight="1" x14ac:dyDescent="0.15">
      <c r="A20" s="21">
        <f t="shared" si="3"/>
        <v>46365</v>
      </c>
      <c r="B20" s="48" t="str">
        <f t="shared" si="1"/>
        <v>sri</v>
      </c>
      <c r="C20" s="49"/>
      <c r="D20" s="49"/>
      <c r="E20" s="50">
        <f t="shared" si="2"/>
        <v>0</v>
      </c>
      <c r="F20" s="61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3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77"/>
      <c r="AE20" s="123">
        <f t="shared" si="0"/>
        <v>0</v>
      </c>
      <c r="AF20" s="88"/>
      <c r="AG20" s="88"/>
      <c r="AH20" s="88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spans="1:48" s="3" customFormat="1" ht="15.75" customHeight="1" x14ac:dyDescent="0.15">
      <c r="A21" s="21">
        <f t="shared" si="3"/>
        <v>46366</v>
      </c>
      <c r="B21" s="48" t="str">
        <f t="shared" si="1"/>
        <v>čet</v>
      </c>
      <c r="C21" s="49"/>
      <c r="D21" s="49"/>
      <c r="E21" s="50">
        <f t="shared" si="2"/>
        <v>0</v>
      </c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77"/>
      <c r="AE21" s="123">
        <f t="shared" si="0"/>
        <v>0</v>
      </c>
      <c r="AF21" s="88"/>
      <c r="AG21" s="88"/>
      <c r="AH21" s="88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pans="1:48" s="3" customFormat="1" ht="15.75" customHeight="1" x14ac:dyDescent="0.15">
      <c r="A22" s="21">
        <f t="shared" si="3"/>
        <v>46367</v>
      </c>
      <c r="B22" s="48" t="str">
        <f t="shared" si="1"/>
        <v>pet</v>
      </c>
      <c r="C22" s="49"/>
      <c r="D22" s="49"/>
      <c r="E22" s="50">
        <f t="shared" si="2"/>
        <v>0</v>
      </c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3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77"/>
      <c r="AE22" s="123">
        <f t="shared" si="0"/>
        <v>0</v>
      </c>
      <c r="AF22" s="88"/>
      <c r="AG22" s="88"/>
      <c r="AH22" s="88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spans="1:48" s="3" customFormat="1" ht="15.75" customHeight="1" x14ac:dyDescent="0.15">
      <c r="A23" s="21">
        <f t="shared" si="3"/>
        <v>46368</v>
      </c>
      <c r="B23" s="48" t="str">
        <f t="shared" si="1"/>
        <v>sub</v>
      </c>
      <c r="C23" s="49"/>
      <c r="D23" s="49"/>
      <c r="E23" s="50">
        <f t="shared" si="2"/>
        <v>0</v>
      </c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53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77"/>
      <c r="AE23" s="123">
        <f t="shared" si="0"/>
        <v>0</v>
      </c>
      <c r="AF23" s="88"/>
      <c r="AG23" s="88"/>
      <c r="AH23" s="88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spans="1:48" s="3" customFormat="1" ht="15.75" customHeight="1" x14ac:dyDescent="0.15">
      <c r="A24" s="21">
        <f t="shared" si="3"/>
        <v>46369</v>
      </c>
      <c r="B24" s="48" t="str">
        <f t="shared" si="1"/>
        <v>ned</v>
      </c>
      <c r="C24" s="49"/>
      <c r="D24" s="49"/>
      <c r="E24" s="50">
        <f t="shared" si="2"/>
        <v>0</v>
      </c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53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77"/>
      <c r="AE24" s="123">
        <f t="shared" si="0"/>
        <v>0</v>
      </c>
      <c r="AF24" s="88"/>
      <c r="AG24" s="88"/>
      <c r="AH24" s="88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spans="1:48" s="3" customFormat="1" ht="15.75" customHeight="1" x14ac:dyDescent="0.15">
      <c r="A25" s="21">
        <f t="shared" si="3"/>
        <v>46370</v>
      </c>
      <c r="B25" s="48" t="str">
        <f t="shared" si="1"/>
        <v>pon</v>
      </c>
      <c r="C25" s="49"/>
      <c r="D25" s="49"/>
      <c r="E25" s="50">
        <f t="shared" si="2"/>
        <v>0</v>
      </c>
      <c r="F25" s="61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53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77"/>
      <c r="AE25" s="123">
        <f t="shared" si="0"/>
        <v>0</v>
      </c>
      <c r="AF25" s="88"/>
      <c r="AG25" s="88"/>
      <c r="AH25" s="88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48" s="3" customFormat="1" ht="15.75" customHeight="1" x14ac:dyDescent="0.15">
      <c r="A26" s="21">
        <f t="shared" si="3"/>
        <v>46371</v>
      </c>
      <c r="B26" s="48" t="str">
        <f t="shared" si="1"/>
        <v>uto</v>
      </c>
      <c r="C26" s="49"/>
      <c r="D26" s="49"/>
      <c r="E26" s="50">
        <f t="shared" si="2"/>
        <v>0</v>
      </c>
      <c r="F26" s="61"/>
      <c r="G26" s="50"/>
      <c r="H26" s="50"/>
      <c r="I26" s="50"/>
      <c r="J26" s="50"/>
      <c r="K26" s="50"/>
      <c r="L26" s="50"/>
      <c r="M26" s="50"/>
      <c r="N26" s="50"/>
      <c r="O26" s="50"/>
      <c r="P26" s="51"/>
      <c r="Q26" s="52"/>
      <c r="R26" s="53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77"/>
      <c r="AE26" s="123">
        <f t="shared" si="0"/>
        <v>0</v>
      </c>
      <c r="AF26" s="88"/>
      <c r="AG26" s="88"/>
      <c r="AH26" s="88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spans="1:48" s="3" customFormat="1" ht="15.75" customHeight="1" x14ac:dyDescent="0.15">
      <c r="A27" s="21">
        <f t="shared" si="3"/>
        <v>46372</v>
      </c>
      <c r="B27" s="48" t="str">
        <f t="shared" si="1"/>
        <v>sri</v>
      </c>
      <c r="C27" s="49"/>
      <c r="D27" s="49"/>
      <c r="E27" s="50">
        <f t="shared" si="2"/>
        <v>0</v>
      </c>
      <c r="F27" s="61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77"/>
      <c r="AE27" s="123">
        <f t="shared" si="0"/>
        <v>0</v>
      </c>
      <c r="AF27" s="88"/>
      <c r="AG27" s="88"/>
      <c r="AH27" s="8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spans="1:48" s="3" customFormat="1" ht="15.75" customHeight="1" x14ac:dyDescent="0.15">
      <c r="A28" s="21">
        <f t="shared" si="3"/>
        <v>46373</v>
      </c>
      <c r="B28" s="48" t="str">
        <f t="shared" si="1"/>
        <v>čet</v>
      </c>
      <c r="C28" s="49"/>
      <c r="D28" s="49"/>
      <c r="E28" s="50">
        <f t="shared" si="2"/>
        <v>0</v>
      </c>
      <c r="F28" s="61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52"/>
      <c r="R28" s="53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77"/>
      <c r="AE28" s="123">
        <f t="shared" si="0"/>
        <v>0</v>
      </c>
      <c r="AF28" s="88"/>
      <c r="AG28" s="88"/>
      <c r="AH28" s="8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pans="1:48" s="3" customFormat="1" ht="15.75" customHeight="1" x14ac:dyDescent="0.15">
      <c r="A29" s="21">
        <f t="shared" si="3"/>
        <v>46374</v>
      </c>
      <c r="B29" s="48" t="str">
        <f t="shared" si="1"/>
        <v>pet</v>
      </c>
      <c r="C29" s="49"/>
      <c r="D29" s="49"/>
      <c r="E29" s="50">
        <f t="shared" si="2"/>
        <v>0</v>
      </c>
      <c r="F29" s="61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52"/>
      <c r="R29" s="53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77"/>
      <c r="AE29" s="123">
        <f t="shared" si="0"/>
        <v>0</v>
      </c>
      <c r="AF29" s="88"/>
      <c r="AG29" s="88"/>
      <c r="AH29" s="8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spans="1:48" s="3" customFormat="1" ht="15.75" customHeight="1" x14ac:dyDescent="0.15">
      <c r="A30" s="21">
        <f t="shared" si="3"/>
        <v>46375</v>
      </c>
      <c r="B30" s="48" t="str">
        <f t="shared" si="1"/>
        <v>sub</v>
      </c>
      <c r="C30" s="49"/>
      <c r="D30" s="49"/>
      <c r="E30" s="50">
        <f t="shared" si="2"/>
        <v>0</v>
      </c>
      <c r="F30" s="61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77"/>
      <c r="AE30" s="123">
        <f t="shared" si="0"/>
        <v>0</v>
      </c>
      <c r="AF30" s="88"/>
      <c r="AG30" s="88"/>
      <c r="AH30" s="8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spans="1:48" s="3" customFormat="1" ht="15.75" customHeight="1" x14ac:dyDescent="0.15">
      <c r="A31" s="21">
        <f t="shared" si="3"/>
        <v>46376</v>
      </c>
      <c r="B31" s="48" t="str">
        <f t="shared" si="1"/>
        <v>ned</v>
      </c>
      <c r="C31" s="49"/>
      <c r="D31" s="49"/>
      <c r="E31" s="50">
        <f t="shared" si="2"/>
        <v>0</v>
      </c>
      <c r="F31" s="61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3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77"/>
      <c r="AE31" s="123">
        <f t="shared" si="0"/>
        <v>0</v>
      </c>
      <c r="AF31" s="88"/>
      <c r="AG31" s="88"/>
      <c r="AH31" s="8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spans="1:48" s="3" customFormat="1" ht="15.75" customHeight="1" x14ac:dyDescent="0.15">
      <c r="A32" s="21">
        <f t="shared" si="3"/>
        <v>46377</v>
      </c>
      <c r="B32" s="48" t="str">
        <f t="shared" si="1"/>
        <v>pon</v>
      </c>
      <c r="C32" s="49"/>
      <c r="D32" s="49"/>
      <c r="E32" s="50">
        <f t="shared" si="2"/>
        <v>0</v>
      </c>
      <c r="F32" s="61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2"/>
      <c r="R32" s="53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77"/>
      <c r="AE32" s="123">
        <f t="shared" si="0"/>
        <v>0</v>
      </c>
      <c r="AF32" s="88"/>
      <c r="AG32" s="88"/>
      <c r="AH32" s="88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spans="1:48" s="3" customFormat="1" ht="15.75" customHeight="1" x14ac:dyDescent="0.15">
      <c r="A33" s="21">
        <f t="shared" si="3"/>
        <v>46378</v>
      </c>
      <c r="B33" s="48" t="str">
        <f t="shared" si="1"/>
        <v>uto</v>
      </c>
      <c r="C33" s="49"/>
      <c r="D33" s="49"/>
      <c r="E33" s="50">
        <f t="shared" si="2"/>
        <v>0</v>
      </c>
      <c r="F33" s="61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2"/>
      <c r="R33" s="53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77"/>
      <c r="AE33" s="123">
        <f t="shared" si="0"/>
        <v>0</v>
      </c>
      <c r="AF33" s="88"/>
      <c r="AG33" s="88"/>
      <c r="AH33" s="88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spans="1:48" s="3" customFormat="1" ht="15.75" customHeight="1" x14ac:dyDescent="0.15">
      <c r="A34" s="21">
        <f t="shared" si="3"/>
        <v>46379</v>
      </c>
      <c r="B34" s="48" t="str">
        <f t="shared" si="1"/>
        <v>sri</v>
      </c>
      <c r="C34" s="49"/>
      <c r="D34" s="49"/>
      <c r="E34" s="50">
        <f t="shared" si="2"/>
        <v>0</v>
      </c>
      <c r="F34" s="61"/>
      <c r="G34" s="50"/>
      <c r="H34" s="50"/>
      <c r="I34" s="50"/>
      <c r="J34" s="50"/>
      <c r="K34" s="50"/>
      <c r="L34" s="50"/>
      <c r="M34" s="50"/>
      <c r="N34" s="50"/>
      <c r="O34" s="50"/>
      <c r="P34" s="51"/>
      <c r="Q34" s="52"/>
      <c r="R34" s="53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77"/>
      <c r="AE34" s="123">
        <f t="shared" si="0"/>
        <v>0</v>
      </c>
      <c r="AF34" s="88"/>
      <c r="AG34" s="88"/>
      <c r="AH34" s="88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pans="1:48" s="3" customFormat="1" ht="15.75" customHeight="1" x14ac:dyDescent="0.15">
      <c r="A35" s="21">
        <f t="shared" si="3"/>
        <v>46380</v>
      </c>
      <c r="B35" s="48" t="str">
        <f t="shared" si="1"/>
        <v>čet</v>
      </c>
      <c r="C35" s="49"/>
      <c r="D35" s="49"/>
      <c r="E35" s="50">
        <f t="shared" si="2"/>
        <v>0</v>
      </c>
      <c r="F35" s="61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77"/>
      <c r="AE35" s="123">
        <f t="shared" si="0"/>
        <v>0</v>
      </c>
      <c r="AF35" s="88"/>
      <c r="AG35" s="88"/>
      <c r="AH35" s="88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spans="1:48" s="3" customFormat="1" ht="15.75" customHeight="1" x14ac:dyDescent="0.15">
      <c r="A36" s="21">
        <f t="shared" si="3"/>
        <v>46381</v>
      </c>
      <c r="B36" s="48" t="str">
        <f t="shared" si="1"/>
        <v>pet</v>
      </c>
      <c r="C36" s="49"/>
      <c r="D36" s="49"/>
      <c r="E36" s="50">
        <f t="shared" si="2"/>
        <v>0</v>
      </c>
      <c r="F36" s="61"/>
      <c r="G36" s="50"/>
      <c r="H36" s="50"/>
      <c r="I36" s="50"/>
      <c r="J36" s="50"/>
      <c r="K36" s="50"/>
      <c r="L36" s="50"/>
      <c r="M36" s="50"/>
      <c r="N36" s="50"/>
      <c r="O36" s="50"/>
      <c r="P36" s="51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77"/>
      <c r="AE36" s="123">
        <f t="shared" si="0"/>
        <v>0</v>
      </c>
      <c r="AF36" s="88"/>
      <c r="AG36" s="88"/>
      <c r="AH36" s="88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spans="1:48" s="3" customFormat="1" ht="15.75" customHeight="1" x14ac:dyDescent="0.15">
      <c r="A37" s="21">
        <f t="shared" si="3"/>
        <v>46382</v>
      </c>
      <c r="B37" s="48" t="str">
        <f t="shared" si="1"/>
        <v>sub</v>
      </c>
      <c r="C37" s="49"/>
      <c r="D37" s="49"/>
      <c r="E37" s="50">
        <f t="shared" si="2"/>
        <v>0</v>
      </c>
      <c r="F37" s="61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2"/>
      <c r="R37" s="53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77"/>
      <c r="AE37" s="123">
        <f t="shared" si="0"/>
        <v>0</v>
      </c>
      <c r="AF37" s="88"/>
      <c r="AG37" s="88"/>
      <c r="AH37" s="88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spans="1:48" s="3" customFormat="1" ht="15.75" customHeight="1" x14ac:dyDescent="0.15">
      <c r="A38" s="21">
        <f t="shared" si="3"/>
        <v>46383</v>
      </c>
      <c r="B38" s="48" t="str">
        <f t="shared" si="1"/>
        <v>ned</v>
      </c>
      <c r="C38" s="49"/>
      <c r="D38" s="49"/>
      <c r="E38" s="50">
        <f t="shared" si="2"/>
        <v>0</v>
      </c>
      <c r="F38" s="61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2"/>
      <c r="R38" s="53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77"/>
      <c r="AE38" s="123">
        <f t="shared" si="0"/>
        <v>0</v>
      </c>
      <c r="AF38" s="88"/>
      <c r="AG38" s="88"/>
      <c r="AH38" s="88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spans="1:48" s="3" customFormat="1" ht="15.75" customHeight="1" x14ac:dyDescent="0.15">
      <c r="A39" s="21">
        <f t="shared" si="3"/>
        <v>46384</v>
      </c>
      <c r="B39" s="48" t="str">
        <f t="shared" si="1"/>
        <v>pon</v>
      </c>
      <c r="C39" s="49"/>
      <c r="D39" s="49"/>
      <c r="E39" s="50">
        <f t="shared" si="2"/>
        <v>0</v>
      </c>
      <c r="F39" s="61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2"/>
      <c r="R39" s="53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77"/>
      <c r="AE39" s="123">
        <f t="shared" si="0"/>
        <v>0</v>
      </c>
      <c r="AF39" s="88"/>
      <c r="AG39" s="88"/>
      <c r="AH39" s="88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spans="1:48" s="3" customFormat="1" ht="15.75" customHeight="1" x14ac:dyDescent="0.15">
      <c r="A40" s="21">
        <f t="shared" si="3"/>
        <v>46385</v>
      </c>
      <c r="B40" s="48" t="str">
        <f t="shared" si="1"/>
        <v>uto</v>
      </c>
      <c r="C40" s="49"/>
      <c r="D40" s="49"/>
      <c r="E40" s="50">
        <f t="shared" si="2"/>
        <v>0</v>
      </c>
      <c r="F40" s="61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2"/>
      <c r="R40" s="53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77"/>
      <c r="AE40" s="123">
        <f t="shared" si="0"/>
        <v>0</v>
      </c>
      <c r="AF40" s="88"/>
      <c r="AG40" s="88"/>
      <c r="AH40" s="8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spans="1:48" s="3" customFormat="1" ht="15.75" customHeight="1" x14ac:dyDescent="0.15">
      <c r="A41" s="21">
        <f t="shared" si="3"/>
        <v>46386</v>
      </c>
      <c r="B41" s="48" t="str">
        <f t="shared" si="1"/>
        <v>sri</v>
      </c>
      <c r="C41" s="49"/>
      <c r="D41" s="49"/>
      <c r="E41" s="50">
        <f t="shared" si="2"/>
        <v>0</v>
      </c>
      <c r="F41" s="61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77"/>
      <c r="AE41" s="123">
        <f t="shared" si="0"/>
        <v>0</v>
      </c>
      <c r="AF41" s="88"/>
      <c r="AG41" s="88"/>
      <c r="AH41" s="88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pans="1:48" s="3" customFormat="1" ht="15.75" customHeight="1" x14ac:dyDescent="0.15">
      <c r="A42" s="21">
        <f t="shared" si="3"/>
        <v>46387</v>
      </c>
      <c r="B42" s="48" t="str">
        <f t="shared" si="1"/>
        <v>čet</v>
      </c>
      <c r="C42" s="49"/>
      <c r="D42" s="49"/>
      <c r="E42" s="50">
        <f t="shared" si="2"/>
        <v>0</v>
      </c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2"/>
      <c r="R42" s="53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77"/>
      <c r="AE42" s="123">
        <f t="shared" si="0"/>
        <v>0</v>
      </c>
      <c r="AF42" s="88"/>
      <c r="AG42" s="88"/>
      <c r="AH42" s="88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spans="1:48" s="3" customFormat="1" ht="6.75" customHeight="1" x14ac:dyDescent="0.15">
      <c r="A43" s="21"/>
      <c r="B43" s="54"/>
      <c r="C43" s="55"/>
      <c r="D43" s="55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77"/>
      <c r="AE43" s="123"/>
      <c r="AF43" s="88"/>
      <c r="AG43" s="88"/>
      <c r="AH43" s="88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spans="1:48" s="24" customFormat="1" ht="13.5" customHeight="1" x14ac:dyDescent="0.2">
      <c r="A44" s="21" t="s">
        <v>0</v>
      </c>
      <c r="B44" s="22" t="s">
        <v>0</v>
      </c>
      <c r="C44" s="23" t="s">
        <v>0</v>
      </c>
      <c r="D44" s="23" t="s">
        <v>0</v>
      </c>
      <c r="E44" s="28">
        <f>SUM(E12:E43)</f>
        <v>0</v>
      </c>
      <c r="F44" s="28">
        <f t="shared" ref="F44:AH44" si="4">SUM(F12:F43)</f>
        <v>0</v>
      </c>
      <c r="G44" s="28">
        <f t="shared" si="4"/>
        <v>0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 t="shared" si="4"/>
        <v>0</v>
      </c>
      <c r="O44" s="28">
        <f t="shared" si="4"/>
        <v>0</v>
      </c>
      <c r="P44" s="28">
        <f t="shared" si="4"/>
        <v>0</v>
      </c>
      <c r="Q44" s="28">
        <f t="shared" si="4"/>
        <v>0</v>
      </c>
      <c r="R44" s="28">
        <f t="shared" si="4"/>
        <v>0</v>
      </c>
      <c r="S44" s="28">
        <f t="shared" si="4"/>
        <v>0</v>
      </c>
      <c r="T44" s="28">
        <f t="shared" si="4"/>
        <v>0</v>
      </c>
      <c r="U44" s="28">
        <f t="shared" si="4"/>
        <v>0</v>
      </c>
      <c r="V44" s="28">
        <f t="shared" si="4"/>
        <v>0</v>
      </c>
      <c r="W44" s="28">
        <f t="shared" si="4"/>
        <v>0</v>
      </c>
      <c r="X44" s="28">
        <f t="shared" si="4"/>
        <v>0</v>
      </c>
      <c r="Y44" s="28">
        <f t="shared" si="4"/>
        <v>0</v>
      </c>
      <c r="Z44" s="28">
        <f t="shared" si="4"/>
        <v>0</v>
      </c>
      <c r="AA44" s="28">
        <f t="shared" si="4"/>
        <v>0</v>
      </c>
      <c r="AB44" s="28">
        <f t="shared" si="4"/>
        <v>0</v>
      </c>
      <c r="AC44" s="28">
        <f t="shared" si="4"/>
        <v>0</v>
      </c>
      <c r="AD44" s="78">
        <f t="shared" si="4"/>
        <v>0</v>
      </c>
      <c r="AE44" s="124" t="s">
        <v>0</v>
      </c>
      <c r="AF44" s="87"/>
      <c r="AG44" s="87"/>
      <c r="AH44" s="87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75.75" customHeight="1" x14ac:dyDescent="0.2">
      <c r="E45" s="59" t="str">
        <f>+E10</f>
        <v>Ukupno sati</v>
      </c>
      <c r="F45" s="59" t="str">
        <f t="shared" ref="F45:AH45" si="5">+F10</f>
        <v>1.smjena</v>
      </c>
      <c r="G45" s="59" t="str">
        <f t="shared" si="5"/>
        <v>2.smjena</v>
      </c>
      <c r="H45" s="59" t="str">
        <f t="shared" si="5"/>
        <v>Noćni rad</v>
      </c>
      <c r="I45" s="60" t="str">
        <f t="shared" si="5"/>
        <v>Rad Nedjeljom</v>
      </c>
      <c r="J45" s="60" t="str">
        <f t="shared" si="5"/>
        <v>Rad praznikom</v>
      </c>
      <c r="K45" s="60" t="str">
        <f t="shared" si="5"/>
        <v>Prekovremeni rad</v>
      </c>
      <c r="L45" s="60" t="str">
        <f t="shared" si="5"/>
        <v>Vrijeme terenskog rada</v>
      </c>
      <c r="M45" s="60" t="str">
        <f t="shared" si="5"/>
        <v>Vrijeme pripravnosti</v>
      </c>
      <c r="N45" s="60" t="str">
        <f t="shared" si="5"/>
        <v>Dnevni odmor</v>
      </c>
      <c r="O45" s="60" t="str">
        <f t="shared" si="5"/>
        <v>Tjedni odmor</v>
      </c>
      <c r="P45" s="60" t="str">
        <f t="shared" si="5"/>
        <v>Godišnji odmor</v>
      </c>
      <c r="Q45" s="60" t="str">
        <f t="shared" si="5"/>
        <v>Neradni dani - blagdani</v>
      </c>
      <c r="R45" s="60" t="str">
        <f t="shared" si="5"/>
        <v>Privremena nesposobnost za rad - do 42 dana</v>
      </c>
      <c r="S45" s="60" t="str">
        <f t="shared" si="5"/>
        <v>Privremena nesposobnost za rad - iznad 42 dana</v>
      </c>
      <c r="T45" s="60" t="str">
        <f t="shared" si="5"/>
        <v>Porodiljni - rodiljni dopust</v>
      </c>
      <c r="U45" s="60" t="str">
        <f t="shared" si="5"/>
        <v>Plaćeni dopust - odsustnost s rada</v>
      </c>
      <c r="V45" s="60" t="str">
        <f t="shared" si="5"/>
        <v>Sati očinskog dopusta i dopusta drugog posvojitelja</v>
      </c>
      <c r="W45" s="60" t="str">
        <f t="shared" si="5"/>
        <v>Neplaćeni dopust - pruž.osobne skrbi</v>
      </c>
      <c r="X45" s="60" t="str">
        <f t="shared" si="5"/>
        <v>Neplaćen dopust kandidata - razno</v>
      </c>
      <c r="Y45" s="60" t="str">
        <f t="shared" si="5"/>
        <v>Neplaćeni dopust - na zahtjev radnika</v>
      </c>
      <c r="Z45" s="60" t="str">
        <f t="shared" si="5"/>
        <v>Krivnje radnika - ne obavlja ugovorene poslove</v>
      </c>
      <c r="AA45" s="60" t="str">
        <f t="shared" si="5"/>
        <v>Krivnja poslodavca - zastoj</v>
      </c>
      <c r="AB45" s="60" t="str">
        <f t="shared" si="5"/>
        <v>Vojna obveza ili služenje u ugovornoj pričuvi</v>
      </c>
      <c r="AC45" s="60" t="str">
        <f t="shared" si="5"/>
        <v>štrajka</v>
      </c>
      <c r="AD45" s="79" t="str">
        <f t="shared" si="5"/>
        <v>isključenja s rada - lockout</v>
      </c>
      <c r="AE45" s="122" t="str">
        <f t="shared" si="5"/>
        <v>KONTROLNI ZBROJ</v>
      </c>
      <c r="AF45" s="83"/>
      <c r="AG45" s="83"/>
      <c r="AH45" s="83"/>
    </row>
    <row r="46" spans="1:48" x14ac:dyDescent="0.2">
      <c r="A46" s="92" t="s">
        <v>98</v>
      </c>
      <c r="B46" s="92"/>
      <c r="C46" s="92"/>
      <c r="D46" s="92"/>
      <c r="E46" s="92"/>
      <c r="F46" s="92"/>
      <c r="G46" s="94">
        <f>+SUM(F44:M44)</f>
        <v>0</v>
      </c>
      <c r="H46" s="94"/>
      <c r="J46" s="92" t="s">
        <v>100</v>
      </c>
      <c r="K46" s="92"/>
      <c r="L46" s="92"/>
      <c r="M46" s="92"/>
      <c r="N46" s="92"/>
      <c r="O46" s="92"/>
      <c r="P46" s="94">
        <f>+G46+G47</f>
        <v>0</v>
      </c>
      <c r="Q46" s="94"/>
      <c r="S46" s="94" t="s">
        <v>102</v>
      </c>
      <c r="T46" s="94"/>
      <c r="U46" s="94"/>
      <c r="V46" s="94"/>
      <c r="W46" s="94"/>
      <c r="X46" s="116"/>
      <c r="Y46" s="116"/>
    </row>
    <row r="47" spans="1:48" x14ac:dyDescent="0.2">
      <c r="A47" s="92" t="s">
        <v>99</v>
      </c>
      <c r="B47" s="92"/>
      <c r="C47" s="92"/>
      <c r="D47" s="92"/>
      <c r="E47" s="92"/>
      <c r="F47" s="92"/>
      <c r="G47" s="94">
        <f>+SUM(P44:AD44)</f>
        <v>0</v>
      </c>
      <c r="H47" s="94"/>
    </row>
  </sheetData>
  <mergeCells count="46">
    <mergeCell ref="A1:AD1"/>
    <mergeCell ref="A2:D2"/>
    <mergeCell ref="E2:F2"/>
    <mergeCell ref="G2:AD2"/>
    <mergeCell ref="A3:D3"/>
    <mergeCell ref="G3:L3"/>
    <mergeCell ref="M3:R3"/>
    <mergeCell ref="S3:AD3"/>
    <mergeCell ref="G4:L4"/>
    <mergeCell ref="M4:R4"/>
    <mergeCell ref="S4:AD4"/>
    <mergeCell ref="A5:D5"/>
    <mergeCell ref="G5:L5"/>
    <mergeCell ref="M5:R5"/>
    <mergeCell ref="S5:AD5"/>
    <mergeCell ref="A4:D4"/>
    <mergeCell ref="X6:AB6"/>
    <mergeCell ref="AC6:AD6"/>
    <mergeCell ref="A7:C7"/>
    <mergeCell ref="D7:F7"/>
    <mergeCell ref="G7:I7"/>
    <mergeCell ref="J7:L7"/>
    <mergeCell ref="M7:O7"/>
    <mergeCell ref="P7:Q7"/>
    <mergeCell ref="R7:U7"/>
    <mergeCell ref="A6:C6"/>
    <mergeCell ref="D6:F6"/>
    <mergeCell ref="G6:I6"/>
    <mergeCell ref="J6:L6"/>
    <mergeCell ref="M6:Q6"/>
    <mergeCell ref="R6:U6"/>
    <mergeCell ref="A47:F47"/>
    <mergeCell ref="G47:H47"/>
    <mergeCell ref="A46:F46"/>
    <mergeCell ref="G46:H46"/>
    <mergeCell ref="J46:O46"/>
    <mergeCell ref="P46:Q46"/>
    <mergeCell ref="S46:W46"/>
    <mergeCell ref="X46:Y46"/>
    <mergeCell ref="V7:W7"/>
    <mergeCell ref="X7:AB7"/>
    <mergeCell ref="AC7:AD7"/>
    <mergeCell ref="A9:E9"/>
    <mergeCell ref="F9:M9"/>
    <mergeCell ref="N9:AD9"/>
    <mergeCell ref="V6:W6"/>
  </mergeCells>
  <conditionalFormatting sqref="A12:B42">
    <cfRule type="expression" dxfId="2" priority="3">
      <formula>ISNUMBER(VLOOKUP(+$A12,Praznici2024,1,0))</formula>
    </cfRule>
    <cfRule type="expression" dxfId="1" priority="4">
      <formula>+$B12="ned"</formula>
    </cfRule>
  </conditionalFormatting>
  <conditionalFormatting sqref="AE12:AE42">
    <cfRule type="expression" dxfId="0" priority="2">
      <formula>+$AE$12&lt;&gt;24</formula>
    </cfRule>
  </conditionalFormatting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5D7F5-33A9-4162-87C6-B53EB8267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15</vt:i4>
      </vt:variant>
    </vt:vector>
  </HeadingPairs>
  <TitlesOfParts>
    <vt:vector size="28" baseType="lpstr">
      <vt:lpstr>Podaci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Podaci!Praznici</vt:lpstr>
      <vt:lpstr>Praznici</vt:lpstr>
      <vt:lpstr>Praznici2024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'11'!Print_Area</vt:lpstr>
      <vt:lpstr>'12'!Print_Area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METRO servis d.o.o.;Ana Protulipac</dc:creator>
  <cp:lastModifiedBy>Ana Protulipac</cp:lastModifiedBy>
  <cp:lastPrinted>2024-12-28T19:22:17Z</cp:lastPrinted>
  <dcterms:created xsi:type="dcterms:W3CDTF">2024-09-17T09:35:56Z</dcterms:created>
  <dcterms:modified xsi:type="dcterms:W3CDTF">2026-01-06T13:37:39Z</dcterms:modified>
</cp:coreProperties>
</file>